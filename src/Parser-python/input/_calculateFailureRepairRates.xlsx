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tkopka_student_unimelb_edu_au/Documents/Documents/PROGRAMMING/PROJECT - CSIRO ARPST/PRASNEM/src/Parser-python/input/"/>
    </mc:Choice>
  </mc:AlternateContent>
  <xr:revisionPtr revIDLastSave="269" documentId="8_{FAEEF520-8A9B-485E-8894-4CE7272497C9}" xr6:coauthVersionLast="47" xr6:coauthVersionMax="47" xr10:uidLastSave="{050E522F-8866-4FD4-8CAF-FB7F3E2FD652}"/>
  <bookViews>
    <workbookView xWindow="-120" yWindow="-120" windowWidth="29040" windowHeight="15720" tabRatio="336" xr2:uid="{00B84C23-80BB-4DA1-9551-5DC36D996354}"/>
  </bookViews>
  <sheets>
    <sheet name="Input" sheetId="2" r:id="rId1"/>
    <sheet name="Data" sheetId="1" r:id="rId2"/>
  </sheets>
  <definedNames>
    <definedName name="_xlnm._FilterDatabase" localSheetId="1" hidden="1">Data!$A$1:$R$1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M3" i="1" s="1"/>
  <c r="I4" i="1"/>
  <c r="J4" i="1"/>
  <c r="I5" i="1"/>
  <c r="J5" i="1"/>
  <c r="M5" i="1" s="1"/>
  <c r="I6" i="1"/>
  <c r="J6" i="1"/>
  <c r="M6" i="1" s="1"/>
  <c r="I7" i="1"/>
  <c r="J7" i="1"/>
  <c r="M7" i="1" s="1"/>
  <c r="I8" i="1"/>
  <c r="J8" i="1"/>
  <c r="I9" i="1"/>
  <c r="J9" i="1"/>
  <c r="M9" i="1" s="1"/>
  <c r="I10" i="1"/>
  <c r="J10" i="1"/>
  <c r="M10" i="1" s="1"/>
  <c r="I11" i="1"/>
  <c r="J11" i="1"/>
  <c r="M11" i="1" s="1"/>
  <c r="I12" i="1"/>
  <c r="J12" i="1"/>
  <c r="M12" i="1" s="1"/>
  <c r="I13" i="1"/>
  <c r="J13" i="1"/>
  <c r="M13" i="1" s="1"/>
  <c r="I14" i="1"/>
  <c r="J14" i="1"/>
  <c r="M14" i="1" s="1"/>
  <c r="I15" i="1"/>
  <c r="J15" i="1"/>
  <c r="M15" i="1" s="1"/>
  <c r="I16" i="1"/>
  <c r="J16" i="1"/>
  <c r="I17" i="1"/>
  <c r="J17" i="1"/>
  <c r="M17" i="1" s="1"/>
  <c r="I18" i="1"/>
  <c r="J18" i="1"/>
  <c r="M18" i="1" s="1"/>
  <c r="I19" i="1"/>
  <c r="J19" i="1"/>
  <c r="M19" i="1" s="1"/>
  <c r="I20" i="1"/>
  <c r="J20" i="1"/>
  <c r="M20" i="1" s="1"/>
  <c r="I21" i="1"/>
  <c r="J21" i="1"/>
  <c r="I22" i="1"/>
  <c r="J22" i="1"/>
  <c r="M22" i="1" s="1"/>
  <c r="I23" i="1"/>
  <c r="J23" i="1"/>
  <c r="M23" i="1" s="1"/>
  <c r="I24" i="1"/>
  <c r="J24" i="1"/>
  <c r="M24" i="1" s="1"/>
  <c r="I25" i="1"/>
  <c r="J25" i="1"/>
  <c r="I26" i="1"/>
  <c r="J26" i="1"/>
  <c r="M26" i="1" s="1"/>
  <c r="I27" i="1"/>
  <c r="J27" i="1"/>
  <c r="M27" i="1" s="1"/>
  <c r="I28" i="1"/>
  <c r="J28" i="1"/>
  <c r="M28" i="1" s="1"/>
  <c r="I29" i="1"/>
  <c r="J29" i="1"/>
  <c r="M29" i="1" s="1"/>
  <c r="I30" i="1"/>
  <c r="J30" i="1"/>
  <c r="M30" i="1" s="1"/>
  <c r="I31" i="1"/>
  <c r="J31" i="1"/>
  <c r="I32" i="1"/>
  <c r="J32" i="1"/>
  <c r="M32" i="1" s="1"/>
  <c r="I33" i="1"/>
  <c r="J33" i="1"/>
  <c r="M33" i="1" s="1"/>
  <c r="I34" i="1"/>
  <c r="J34" i="1"/>
  <c r="M34" i="1" s="1"/>
  <c r="I35" i="1"/>
  <c r="J35" i="1"/>
  <c r="M35" i="1" s="1"/>
  <c r="I36" i="1"/>
  <c r="J36" i="1"/>
  <c r="M36" i="1" s="1"/>
  <c r="I37" i="1"/>
  <c r="J37" i="1"/>
  <c r="I38" i="1"/>
  <c r="J38" i="1"/>
  <c r="M38" i="1" s="1"/>
  <c r="I39" i="1"/>
  <c r="J39" i="1"/>
  <c r="I40" i="1"/>
  <c r="J40" i="1"/>
  <c r="M40" i="1" s="1"/>
  <c r="I41" i="1"/>
  <c r="J41" i="1"/>
  <c r="M41" i="1" s="1"/>
  <c r="I42" i="1"/>
  <c r="J42" i="1"/>
  <c r="M42" i="1" s="1"/>
  <c r="I43" i="1"/>
  <c r="J43" i="1"/>
  <c r="I44" i="1"/>
  <c r="J44" i="1"/>
  <c r="M44" i="1" s="1"/>
  <c r="I45" i="1"/>
  <c r="J45" i="1"/>
  <c r="M45" i="1" s="1"/>
  <c r="I46" i="1"/>
  <c r="J46" i="1"/>
  <c r="M46" i="1" s="1"/>
  <c r="I47" i="1"/>
  <c r="J47" i="1"/>
  <c r="M47" i="1" s="1"/>
  <c r="I48" i="1"/>
  <c r="J48" i="1"/>
  <c r="M48" i="1" s="1"/>
  <c r="I49" i="1"/>
  <c r="J49" i="1"/>
  <c r="M49" i="1" s="1"/>
  <c r="I50" i="1"/>
  <c r="J50" i="1"/>
  <c r="M50" i="1" s="1"/>
  <c r="I51" i="1"/>
  <c r="J51" i="1"/>
  <c r="M51" i="1" s="1"/>
  <c r="I52" i="1"/>
  <c r="J52" i="1"/>
  <c r="M52" i="1" s="1"/>
  <c r="I53" i="1"/>
  <c r="J53" i="1"/>
  <c r="M53" i="1" s="1"/>
  <c r="J54" i="1"/>
  <c r="M54" i="1" s="1"/>
  <c r="I56" i="1"/>
  <c r="J56" i="1"/>
  <c r="M56" i="1" s="1"/>
  <c r="J60" i="1"/>
  <c r="M60" i="1" s="1"/>
  <c r="I62" i="1"/>
  <c r="J62" i="1"/>
  <c r="M62" i="1" s="1"/>
  <c r="J66" i="1"/>
  <c r="M66" i="1" s="1"/>
  <c r="I68" i="1"/>
  <c r="J68" i="1"/>
  <c r="M68" i="1" s="1"/>
  <c r="J72" i="1"/>
  <c r="M72" i="1" s="1"/>
  <c r="I74" i="1"/>
  <c r="J74" i="1"/>
  <c r="M74" i="1" s="1"/>
  <c r="J78" i="1"/>
  <c r="M78" i="1" s="1"/>
  <c r="I80" i="1"/>
  <c r="J80" i="1"/>
  <c r="M80" i="1" s="1"/>
  <c r="J84" i="1"/>
  <c r="M84" i="1" s="1"/>
  <c r="I86" i="1"/>
  <c r="J86" i="1"/>
  <c r="M86" i="1" s="1"/>
  <c r="J90" i="1"/>
  <c r="M90" i="1" s="1"/>
  <c r="I92" i="1"/>
  <c r="J92" i="1"/>
  <c r="M92" i="1" s="1"/>
  <c r="J96" i="1"/>
  <c r="M96" i="1" s="1"/>
  <c r="I98" i="1"/>
  <c r="J98" i="1"/>
  <c r="M98" i="1" s="1"/>
  <c r="J102" i="1"/>
  <c r="M102" i="1" s="1"/>
  <c r="I104" i="1"/>
  <c r="J104" i="1"/>
  <c r="M104" i="1" s="1"/>
  <c r="J108" i="1"/>
  <c r="M108" i="1" s="1"/>
  <c r="I110" i="1"/>
  <c r="J110" i="1"/>
  <c r="M110" i="1" s="1"/>
  <c r="J114" i="1"/>
  <c r="M114" i="1" s="1"/>
  <c r="I116" i="1"/>
  <c r="J116" i="1"/>
  <c r="M116" i="1" s="1"/>
  <c r="J120" i="1"/>
  <c r="M120" i="1" s="1"/>
  <c r="I122" i="1"/>
  <c r="J122" i="1"/>
  <c r="M122" i="1" s="1"/>
  <c r="J2" i="1"/>
  <c r="M2" i="1" s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2" i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I57" i="1" s="1"/>
  <c r="E18" i="2"/>
  <c r="E19" i="2"/>
  <c r="E20" i="2"/>
  <c r="E21" i="2"/>
  <c r="E22" i="2"/>
  <c r="E23" i="2"/>
  <c r="E24" i="2"/>
  <c r="E25" i="2"/>
  <c r="E4" i="2"/>
  <c r="J121" i="1" l="1"/>
  <c r="L121" i="1" s="1"/>
  <c r="J115" i="1"/>
  <c r="J109" i="1"/>
  <c r="M109" i="1" s="1"/>
  <c r="J103" i="1"/>
  <c r="J97" i="1"/>
  <c r="M97" i="1" s="1"/>
  <c r="J91" i="1"/>
  <c r="M91" i="1" s="1"/>
  <c r="J85" i="1"/>
  <c r="M85" i="1" s="1"/>
  <c r="J79" i="1"/>
  <c r="M79" i="1" s="1"/>
  <c r="J73" i="1"/>
  <c r="M73" i="1" s="1"/>
  <c r="J67" i="1"/>
  <c r="M67" i="1" s="1"/>
  <c r="J61" i="1"/>
  <c r="M61" i="1" s="1"/>
  <c r="J55" i="1"/>
  <c r="M55" i="1" s="1"/>
  <c r="I121" i="1"/>
  <c r="I115" i="1"/>
  <c r="I109" i="1"/>
  <c r="L109" i="1" s="1"/>
  <c r="I103" i="1"/>
  <c r="L103" i="1" s="1"/>
  <c r="I97" i="1"/>
  <c r="L97" i="1" s="1"/>
  <c r="I91" i="1"/>
  <c r="L91" i="1" s="1"/>
  <c r="I85" i="1"/>
  <c r="L85" i="1" s="1"/>
  <c r="I79" i="1"/>
  <c r="L79" i="1" s="1"/>
  <c r="I73" i="1"/>
  <c r="L73" i="1" s="1"/>
  <c r="I67" i="1"/>
  <c r="I61" i="1"/>
  <c r="I55" i="1"/>
  <c r="I120" i="1"/>
  <c r="I114" i="1"/>
  <c r="I90" i="1"/>
  <c r="L90" i="1" s="1"/>
  <c r="I78" i="1"/>
  <c r="L78" i="1" s="1"/>
  <c r="I54" i="1"/>
  <c r="L54" i="1" s="1"/>
  <c r="J101" i="1"/>
  <c r="M101" i="1" s="1"/>
  <c r="J95" i="1"/>
  <c r="M95" i="1" s="1"/>
  <c r="J71" i="1"/>
  <c r="M71" i="1" s="1"/>
  <c r="J65" i="1"/>
  <c r="M65" i="1" s="1"/>
  <c r="I113" i="1"/>
  <c r="I101" i="1"/>
  <c r="I89" i="1"/>
  <c r="I65" i="1"/>
  <c r="I59" i="1"/>
  <c r="J124" i="1"/>
  <c r="M124" i="1" s="1"/>
  <c r="J118" i="1"/>
  <c r="J112" i="1"/>
  <c r="M112" i="1" s="1"/>
  <c r="J106" i="1"/>
  <c r="L106" i="1" s="1"/>
  <c r="J100" i="1"/>
  <c r="M100" i="1" s="1"/>
  <c r="J94" i="1"/>
  <c r="M94" i="1" s="1"/>
  <c r="J88" i="1"/>
  <c r="M88" i="1" s="1"/>
  <c r="J82" i="1"/>
  <c r="M82" i="1" s="1"/>
  <c r="J76" i="1"/>
  <c r="M76" i="1" s="1"/>
  <c r="J70" i="1"/>
  <c r="M70" i="1" s="1"/>
  <c r="J64" i="1"/>
  <c r="M64" i="1" s="1"/>
  <c r="J58" i="1"/>
  <c r="I108" i="1"/>
  <c r="L108" i="1" s="1"/>
  <c r="I84" i="1"/>
  <c r="L84" i="1" s="1"/>
  <c r="I60" i="1"/>
  <c r="L60" i="1" s="1"/>
  <c r="J107" i="1"/>
  <c r="M107" i="1" s="1"/>
  <c r="J83" i="1"/>
  <c r="M83" i="1" s="1"/>
  <c r="I107" i="1"/>
  <c r="L107" i="1" s="1"/>
  <c r="I77" i="1"/>
  <c r="I124" i="1"/>
  <c r="I118" i="1"/>
  <c r="L118" i="1" s="1"/>
  <c r="I112" i="1"/>
  <c r="L112" i="1" s="1"/>
  <c r="I106" i="1"/>
  <c r="I100" i="1"/>
  <c r="I94" i="1"/>
  <c r="I88" i="1"/>
  <c r="I82" i="1"/>
  <c r="I76" i="1"/>
  <c r="I70" i="1"/>
  <c r="I64" i="1"/>
  <c r="I58" i="1"/>
  <c r="L58" i="1" s="1"/>
  <c r="I102" i="1"/>
  <c r="I72" i="1"/>
  <c r="L72" i="1" s="1"/>
  <c r="J119" i="1"/>
  <c r="M119" i="1" s="1"/>
  <c r="J89" i="1"/>
  <c r="M89" i="1" s="1"/>
  <c r="J59" i="1"/>
  <c r="M59" i="1" s="1"/>
  <c r="I95" i="1"/>
  <c r="I71" i="1"/>
  <c r="J123" i="1"/>
  <c r="M123" i="1" s="1"/>
  <c r="J117" i="1"/>
  <c r="M117" i="1" s="1"/>
  <c r="J111" i="1"/>
  <c r="J105" i="1"/>
  <c r="M105" i="1" s="1"/>
  <c r="J99" i="1"/>
  <c r="M99" i="1" s="1"/>
  <c r="J93" i="1"/>
  <c r="M93" i="1" s="1"/>
  <c r="J87" i="1"/>
  <c r="M87" i="1" s="1"/>
  <c r="J81" i="1"/>
  <c r="M81" i="1" s="1"/>
  <c r="J75" i="1"/>
  <c r="M75" i="1" s="1"/>
  <c r="J69" i="1"/>
  <c r="M69" i="1" s="1"/>
  <c r="J63" i="1"/>
  <c r="M63" i="1" s="1"/>
  <c r="J57" i="1"/>
  <c r="M57" i="1" s="1"/>
  <c r="I96" i="1"/>
  <c r="L96" i="1" s="1"/>
  <c r="I66" i="1"/>
  <c r="L66" i="1" s="1"/>
  <c r="J113" i="1"/>
  <c r="M113" i="1" s="1"/>
  <c r="J77" i="1"/>
  <c r="M77" i="1" s="1"/>
  <c r="I119" i="1"/>
  <c r="I83" i="1"/>
  <c r="I123" i="1"/>
  <c r="I117" i="1"/>
  <c r="L117" i="1" s="1"/>
  <c r="I111" i="1"/>
  <c r="I105" i="1"/>
  <c r="I99" i="1"/>
  <c r="I93" i="1"/>
  <c r="I87" i="1"/>
  <c r="I81" i="1"/>
  <c r="I75" i="1"/>
  <c r="I69" i="1"/>
  <c r="L69" i="1" s="1"/>
  <c r="I63" i="1"/>
  <c r="L8" i="1"/>
  <c r="L22" i="1"/>
  <c r="L24" i="1"/>
  <c r="L115" i="1"/>
  <c r="L43" i="1"/>
  <c r="L37" i="1"/>
  <c r="L31" i="1"/>
  <c r="L25" i="1"/>
  <c r="L16" i="1"/>
  <c r="L10" i="1"/>
  <c r="L23" i="1"/>
  <c r="L34" i="1"/>
  <c r="M16" i="1"/>
  <c r="L35" i="1"/>
  <c r="L52" i="1"/>
  <c r="L46" i="1"/>
  <c r="L40" i="1"/>
  <c r="L4" i="1"/>
  <c r="L29" i="1"/>
  <c r="M4" i="1"/>
  <c r="L5" i="1"/>
  <c r="M118" i="1"/>
  <c r="L57" i="1"/>
  <c r="L39" i="1"/>
  <c r="L21" i="1"/>
  <c r="L19" i="1"/>
  <c r="M8" i="1"/>
  <c r="L47" i="1"/>
  <c r="M39" i="1"/>
  <c r="M58" i="1"/>
  <c r="L68" i="1"/>
  <c r="L33" i="1"/>
  <c r="L110" i="1"/>
  <c r="L92" i="1"/>
  <c r="L80" i="1"/>
  <c r="L62" i="1"/>
  <c r="L50" i="1"/>
  <c r="L38" i="1"/>
  <c r="L26" i="1"/>
  <c r="L14" i="1"/>
  <c r="L51" i="1"/>
  <c r="L9" i="1"/>
  <c r="L15" i="1"/>
  <c r="L120" i="1"/>
  <c r="L114" i="1"/>
  <c r="L102" i="1"/>
  <c r="L48" i="1"/>
  <c r="L36" i="1"/>
  <c r="L30" i="1"/>
  <c r="L18" i="1"/>
  <c r="L12" i="1"/>
  <c r="L3" i="1"/>
  <c r="L13" i="1"/>
  <c r="L59" i="1"/>
  <c r="L53" i="1"/>
  <c r="L41" i="1"/>
  <c r="L17" i="1"/>
  <c r="L11" i="1"/>
  <c r="L122" i="1"/>
  <c r="L104" i="1"/>
  <c r="L98" i="1"/>
  <c r="L86" i="1"/>
  <c r="L74" i="1"/>
  <c r="L56" i="1"/>
  <c r="L44" i="1"/>
  <c r="L32" i="1"/>
  <c r="L7" i="1"/>
  <c r="M111" i="1"/>
  <c r="L42" i="1"/>
  <c r="L6" i="1"/>
  <c r="M21" i="1"/>
  <c r="M25" i="1"/>
  <c r="L116" i="1"/>
  <c r="L20" i="1"/>
  <c r="L28" i="1"/>
  <c r="L45" i="1"/>
  <c r="L27" i="1"/>
  <c r="M115" i="1"/>
  <c r="M103" i="1"/>
  <c r="M43" i="1"/>
  <c r="M37" i="1"/>
  <c r="M31" i="1"/>
  <c r="L49" i="1"/>
  <c r="L2" i="1"/>
  <c r="M121" i="1" l="1"/>
  <c r="L64" i="1"/>
  <c r="L75" i="1"/>
  <c r="L70" i="1"/>
  <c r="L81" i="1"/>
  <c r="L76" i="1"/>
  <c r="L87" i="1"/>
  <c r="L82" i="1"/>
  <c r="L89" i="1"/>
  <c r="L88" i="1"/>
  <c r="L95" i="1"/>
  <c r="L55" i="1"/>
  <c r="L105" i="1"/>
  <c r="L61" i="1"/>
  <c r="L67" i="1"/>
  <c r="L99" i="1"/>
  <c r="M106" i="1"/>
  <c r="L83" i="1"/>
  <c r="L123" i="1"/>
  <c r="L101" i="1"/>
  <c r="L113" i="1"/>
  <c r="L94" i="1"/>
  <c r="L124" i="1"/>
  <c r="L111" i="1"/>
  <c r="L65" i="1"/>
  <c r="L63" i="1"/>
  <c r="L119" i="1"/>
  <c r="L100" i="1"/>
  <c r="L71" i="1"/>
  <c r="L77" i="1"/>
  <c r="L93" i="1"/>
</calcChain>
</file>

<file path=xl/sharedStrings.xml><?xml version="1.0" encoding="utf-8"?>
<sst xmlns="http://schemas.openxmlformats.org/spreadsheetml/2006/main" count="704" uniqueCount="262">
  <si>
    <t>id</t>
  </si>
  <si>
    <t>name</t>
  </si>
  <si>
    <t>alias</t>
  </si>
  <si>
    <t>fuel</t>
  </si>
  <si>
    <t>tech</t>
  </si>
  <si>
    <t>type</t>
  </si>
  <si>
    <t>Bayswater</t>
  </si>
  <si>
    <t>BW01</t>
  </si>
  <si>
    <t>Coal</t>
  </si>
  <si>
    <t>Black Coal NSW</t>
  </si>
  <si>
    <t>Steam Sub Critical</t>
  </si>
  <si>
    <t>Callide B</t>
  </si>
  <si>
    <t>CALL_B_1</t>
  </si>
  <si>
    <t>Black Coal QLD</t>
  </si>
  <si>
    <t>Callide C</t>
  </si>
  <si>
    <t>CPP_3</t>
  </si>
  <si>
    <t>Steam Super Critical</t>
  </si>
  <si>
    <t>Eraring</t>
  </si>
  <si>
    <t>ER01</t>
  </si>
  <si>
    <t>Gladstone</t>
  </si>
  <si>
    <t>GSTONE1</t>
  </si>
  <si>
    <t>Kogan Creek</t>
  </si>
  <si>
    <t>KPP_1</t>
  </si>
  <si>
    <t>Loy Yang A Power Station</t>
  </si>
  <si>
    <t>LYA1</t>
  </si>
  <si>
    <t>Brown Coal VIC</t>
  </si>
  <si>
    <t>Loy Yang B</t>
  </si>
  <si>
    <t>LOYYB1</t>
  </si>
  <si>
    <t>Millmerran</t>
  </si>
  <si>
    <t>MPP_1</t>
  </si>
  <si>
    <t>Mt Piper</t>
  </si>
  <si>
    <t>MP1</t>
  </si>
  <si>
    <t>Stanwell</t>
  </si>
  <si>
    <t>STAN-1</t>
  </si>
  <si>
    <t>Tarong</t>
  </si>
  <si>
    <t>TARONG#1</t>
  </si>
  <si>
    <t>Tarong North</t>
  </si>
  <si>
    <t>TNPS1</t>
  </si>
  <si>
    <t>Vales Point B</t>
  </si>
  <si>
    <t>VP5</t>
  </si>
  <si>
    <t>Yallourn W</t>
  </si>
  <si>
    <t>YWPS1</t>
  </si>
  <si>
    <t>Brown Coal</t>
  </si>
  <si>
    <t>Angaston</t>
  </si>
  <si>
    <t>ANGAST1</t>
  </si>
  <si>
    <t>Diesel</t>
  </si>
  <si>
    <t>Reciprocating Engine</t>
  </si>
  <si>
    <t>Lonsdale</t>
  </si>
  <si>
    <t>LONSDALE</t>
  </si>
  <si>
    <t>Mt Stuart</t>
  </si>
  <si>
    <t>MSTUART1</t>
  </si>
  <si>
    <t>Port Lincoln GT</t>
  </si>
  <si>
    <t>POR01</t>
  </si>
  <si>
    <t>Port Stanvac 1</t>
  </si>
  <si>
    <t>PTSTAN1</t>
  </si>
  <si>
    <t>Snapper Point Power Station</t>
  </si>
  <si>
    <t>SNAPPER1</t>
  </si>
  <si>
    <t>Snuggery</t>
  </si>
  <si>
    <t>SNUG1</t>
  </si>
  <si>
    <t>Barron Gorge</t>
  </si>
  <si>
    <t>BARRON-1</t>
  </si>
  <si>
    <t>Hydro</t>
  </si>
  <si>
    <t>Run-of-River</t>
  </si>
  <si>
    <t>Vertical Francis</t>
  </si>
  <si>
    <t>Bastyan</t>
  </si>
  <si>
    <t>BASTYAN</t>
  </si>
  <si>
    <t>Reservoir</t>
  </si>
  <si>
    <t>Francis</t>
  </si>
  <si>
    <t>Blowering</t>
  </si>
  <si>
    <t>BLOWERNG</t>
  </si>
  <si>
    <t>Bogong / MacKay</t>
  </si>
  <si>
    <t>MCKAY1</t>
  </si>
  <si>
    <t>Francis / Pelton</t>
  </si>
  <si>
    <t>Catagunya / Liapootah / Wayatinah</t>
  </si>
  <si>
    <t>LI_WY_CA</t>
  </si>
  <si>
    <t>Cethana</t>
  </si>
  <si>
    <t>CETHANA</t>
  </si>
  <si>
    <t>Dartmouth</t>
  </si>
  <si>
    <t>DARTM1</t>
  </si>
  <si>
    <t>Devils gate</t>
  </si>
  <si>
    <t>DEVILS_G</t>
  </si>
  <si>
    <t>Eildon</t>
  </si>
  <si>
    <t>EILDON1</t>
  </si>
  <si>
    <t>Fisher</t>
  </si>
  <si>
    <t>FISHER</t>
  </si>
  <si>
    <t>Pelton</t>
  </si>
  <si>
    <t>Gordon</t>
  </si>
  <si>
    <t>GORDON</t>
  </si>
  <si>
    <t>Guthega</t>
  </si>
  <si>
    <t>GUTHEGA</t>
  </si>
  <si>
    <t>Hume Dam NSW</t>
  </si>
  <si>
    <t>HUMENSW</t>
  </si>
  <si>
    <t>Kaplan</t>
  </si>
  <si>
    <t>Hume Dam VIC</t>
  </si>
  <si>
    <t>HUMEV</t>
  </si>
  <si>
    <t>John Butters</t>
  </si>
  <si>
    <t>JBUTTERS</t>
  </si>
  <si>
    <t>Kareeya</t>
  </si>
  <si>
    <t>KAREEYA1</t>
  </si>
  <si>
    <t>Lake Echo</t>
  </si>
  <si>
    <t>LK_ECHO</t>
  </si>
  <si>
    <t>Lemonthyme / Wilmot</t>
  </si>
  <si>
    <t>LEM_WIL</t>
  </si>
  <si>
    <t>Mackintosh</t>
  </si>
  <si>
    <t>MACKNTSH</t>
  </si>
  <si>
    <t>Meadowbank</t>
  </si>
  <si>
    <t>MEADOWBK</t>
  </si>
  <si>
    <t>Murray 1</t>
  </si>
  <si>
    <t>MURRAY1</t>
  </si>
  <si>
    <t>Murray 2</t>
  </si>
  <si>
    <t>MURRAY2</t>
  </si>
  <si>
    <t>Poatina</t>
  </si>
  <si>
    <t>POAT110</t>
  </si>
  <si>
    <t>Nozzle-spear Pelton</t>
  </si>
  <si>
    <t>Reece</t>
  </si>
  <si>
    <t>REECE1</t>
  </si>
  <si>
    <t>Tarraleah</t>
  </si>
  <si>
    <t>TARRALEA</t>
  </si>
  <si>
    <t>Trevallyn</t>
  </si>
  <si>
    <t>TREVALLN</t>
  </si>
  <si>
    <t>Tribute</t>
  </si>
  <si>
    <t>TRIBUTE</t>
  </si>
  <si>
    <t>Tungatinah</t>
  </si>
  <si>
    <t>TUNGATIN</t>
  </si>
  <si>
    <t>Upper Tumut</t>
  </si>
  <si>
    <t>UPPTUMUT</t>
  </si>
  <si>
    <t>West Kiewa</t>
  </si>
  <si>
    <t>WKIEWA1</t>
  </si>
  <si>
    <t>Kogan Gas</t>
  </si>
  <si>
    <t>Hydrogen</t>
  </si>
  <si>
    <t>Hydrogen-based gas turbines</t>
  </si>
  <si>
    <t>SA Hydrogen Turbine</t>
  </si>
  <si>
    <t>Bairnsdale</t>
  </si>
  <si>
    <t>BDL01</t>
  </si>
  <si>
    <t>Natural Gas</t>
  </si>
  <si>
    <t>OCGT</t>
  </si>
  <si>
    <t>Barcaldine Power Station</t>
  </si>
  <si>
    <t>BARCALDN</t>
  </si>
  <si>
    <t>Barker Inlet Power Station</t>
  </si>
  <si>
    <t>BARKIPS1</t>
  </si>
  <si>
    <t>Bell Bay Three</t>
  </si>
  <si>
    <t>BBTHREE1</t>
  </si>
  <si>
    <t>Bolivar Power Station</t>
  </si>
  <si>
    <t>BOLIVPS1</t>
  </si>
  <si>
    <t>Braemar</t>
  </si>
  <si>
    <t>BRAEMAR1</t>
  </si>
  <si>
    <t>Braemar 2 Power Station</t>
  </si>
  <si>
    <t>BRAEMAR5</t>
  </si>
  <si>
    <t>Colongra</t>
  </si>
  <si>
    <t>CG1</t>
  </si>
  <si>
    <t>Condamine A</t>
  </si>
  <si>
    <t>CPSA</t>
  </si>
  <si>
    <t>CCGT</t>
  </si>
  <si>
    <t>Darling Downs</t>
  </si>
  <si>
    <t>DDPS1</t>
  </si>
  <si>
    <t>Dry Creek GT</t>
  </si>
  <si>
    <t>DRYCGT1</t>
  </si>
  <si>
    <t>Hallett GT</t>
  </si>
  <si>
    <t>AGLHAL</t>
  </si>
  <si>
    <t>GE Frame 5</t>
  </si>
  <si>
    <t>Jeeralang A</t>
  </si>
  <si>
    <t>JLA01</t>
  </si>
  <si>
    <t>Jeeralang B</t>
  </si>
  <si>
    <t>JLB01</t>
  </si>
  <si>
    <t>Kurri Kurri OCGT</t>
  </si>
  <si>
    <t>Ladbroke Grove</t>
  </si>
  <si>
    <t>LADBROK1</t>
  </si>
  <si>
    <t>Laverton North</t>
  </si>
  <si>
    <t>LNGS1</t>
  </si>
  <si>
    <t>Mintaro GT</t>
  </si>
  <si>
    <t>MINTARO</t>
  </si>
  <si>
    <t>Mortlake</t>
  </si>
  <si>
    <t>MORTLK11</t>
  </si>
  <si>
    <t>Newport</t>
  </si>
  <si>
    <t>NPS</t>
  </si>
  <si>
    <t>Gas-powered steam turbine</t>
  </si>
  <si>
    <t>Oakey Power Station</t>
  </si>
  <si>
    <t>OAKEY1</t>
  </si>
  <si>
    <t>Osborne</t>
  </si>
  <si>
    <t>OSB-AG</t>
  </si>
  <si>
    <t>Pelican Point</t>
  </si>
  <si>
    <t>PPCCGT</t>
  </si>
  <si>
    <t>Quarantine</t>
  </si>
  <si>
    <t>QPS5</t>
  </si>
  <si>
    <t>Roma</t>
  </si>
  <si>
    <t>ROMA_7</t>
  </si>
  <si>
    <t>Smithfield Energy Facility</t>
  </si>
  <si>
    <t>SITHE01</t>
  </si>
  <si>
    <t>Somerton</t>
  </si>
  <si>
    <t>AGLSOM</t>
  </si>
  <si>
    <t>Frame 6B</t>
  </si>
  <si>
    <t>Swanbank E GT</t>
  </si>
  <si>
    <t>SWAN_E</t>
  </si>
  <si>
    <t>Tallawarra</t>
  </si>
  <si>
    <t>TALWA1</t>
  </si>
  <si>
    <t>Tallawarra B</t>
  </si>
  <si>
    <t>TALWB1</t>
  </si>
  <si>
    <t>Tamar Valley Combined Cycle</t>
  </si>
  <si>
    <t>TVCC201</t>
  </si>
  <si>
    <t>Tamar Valley Peaking</t>
  </si>
  <si>
    <t>TVPP104</t>
  </si>
  <si>
    <t>Torrens Island B</t>
  </si>
  <si>
    <t>TORRB1</t>
  </si>
  <si>
    <t>Townsville Power Station</t>
  </si>
  <si>
    <t>YABULU</t>
  </si>
  <si>
    <t>Uranquinty</t>
  </si>
  <si>
    <t>URANQ11</t>
  </si>
  <si>
    <t>Valley Power</t>
  </si>
  <si>
    <t>VPGS1</t>
  </si>
  <si>
    <t>Yarwun Cogen</t>
  </si>
  <si>
    <t>YARWUN_1</t>
  </si>
  <si>
    <t>RTPV_NQ</t>
  </si>
  <si>
    <t>Solar</t>
  </si>
  <si>
    <t>RoofPV</t>
  </si>
  <si>
    <t>RTPV_CQ</t>
  </si>
  <si>
    <t>RTPV_GG</t>
  </si>
  <si>
    <t>RTPV_SQ</t>
  </si>
  <si>
    <t>RTPV_NNSW</t>
  </si>
  <si>
    <t>RTPV_CNSW</t>
  </si>
  <si>
    <t>RTPV_SNW</t>
  </si>
  <si>
    <t>RTPV_SNSW</t>
  </si>
  <si>
    <t>RTPV_VIC</t>
  </si>
  <si>
    <t>RTPV_TAS</t>
  </si>
  <si>
    <t>RTPV_CSA</t>
  </si>
  <si>
    <t>RTPV_SESA</t>
  </si>
  <si>
    <t>LSPV_CQ</t>
  </si>
  <si>
    <t>LargePV</t>
  </si>
  <si>
    <t>LSPV_VIC</t>
  </si>
  <si>
    <t>LSPV_NNSW</t>
  </si>
  <si>
    <t>LSPV_SQ</t>
  </si>
  <si>
    <t>LSPV_CSA</t>
  </si>
  <si>
    <t>LSPV_NQ</t>
  </si>
  <si>
    <t>LSPV_SNSW</t>
  </si>
  <si>
    <t>LSPV_CNSW</t>
  </si>
  <si>
    <t>LSPV_TAS</t>
  </si>
  <si>
    <t>LSPV_SESA</t>
  </si>
  <si>
    <t>WIND_CQ</t>
  </si>
  <si>
    <t>Wind</t>
  </si>
  <si>
    <t>WIND_VIC</t>
  </si>
  <si>
    <t>WIND_NNSW</t>
  </si>
  <si>
    <t>WIND_SQ</t>
  </si>
  <si>
    <t>WIND_CSA</t>
  </si>
  <si>
    <t>WIND_NQ</t>
  </si>
  <si>
    <t>WIND_SNSW</t>
  </si>
  <si>
    <t>WIND_CNSW</t>
  </si>
  <si>
    <t>WIND_TAS</t>
  </si>
  <si>
    <t>WIND_SESA</t>
  </si>
  <si>
    <t>FOR</t>
  </si>
  <si>
    <t>MTTR</t>
  </si>
  <si>
    <t>failureprobability</t>
  </si>
  <si>
    <t>repairprobability</t>
  </si>
  <si>
    <t>failureprobability_old</t>
  </si>
  <si>
    <t>repairprobability_old</t>
  </si>
  <si>
    <t>Tech</t>
  </si>
  <si>
    <t>Type</t>
  </si>
  <si>
    <t>Fuel</t>
  </si>
  <si>
    <t>AllCombined</t>
  </si>
  <si>
    <t>Input Values</t>
  </si>
  <si>
    <t>Comments</t>
  </si>
  <si>
    <t>GE gas turbine, treating as OCGT</t>
  </si>
  <si>
    <t>FOR (assigned from other sheet)</t>
  </si>
  <si>
    <t>MTTR  (assigned from other 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</si>
</sst>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_-;\-* #,##0.0_-;_-* &quot;-&quot;??_-;_-@_-"/>
  </numFmts>
  <fonts count="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1"/>
      <color theme="0" tint="-0.14999847407452621"/>
      <name val="Arial"/>
      <family val="2"/>
    </font>
    <font>
      <sz val="11"/>
      <color theme="0" tint="-0.14999847407452621"/>
      <name val="Arial"/>
      <family val="2"/>
    </font>
    <font>
      <sz val="11"/>
      <color theme="0" tint="-0.249977111117893"/>
      <name val="Arial"/>
      <family val="2"/>
    </font>
    <font>
      <b/>
      <sz val="11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3" fillId="0" borderId="1" applyNumberFormat="0" applyAlignment="0">
      <alignment horizontal="center"/>
    </xf>
  </cellStyleXfs>
  <cellXfs count="37">
    <xf numFmtId="0" fontId="0" fillId="0" borderId="0" xfId="0"/>
    <xf numFmtId="0" fontId="2" fillId="0" borderId="0" xfId="0" applyFont="1"/>
    <xf numFmtId="10" fontId="0" fillId="0" borderId="0" xfId="1" applyNumberFormat="1" applyFont="1"/>
    <xf numFmtId="2" fontId="0" fillId="0" borderId="0" xfId="0" applyNumberForma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2" borderId="0" xfId="0" applyFont="1" applyFill="1"/>
    <xf numFmtId="0" fontId="2" fillId="0" borderId="2" xfId="0" applyFont="1" applyBorder="1"/>
    <xf numFmtId="0" fontId="2" fillId="0" borderId="3" xfId="0" applyFont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2" fillId="0" borderId="4" xfId="0" applyFont="1" applyBorder="1"/>
    <xf numFmtId="0" fontId="0" fillId="2" borderId="6" xfId="0" applyFill="1" applyBorder="1"/>
    <xf numFmtId="0" fontId="0" fillId="2" borderId="9" xfId="0" applyFill="1" applyBorder="1"/>
    <xf numFmtId="0" fontId="7" fillId="0" borderId="3" xfId="0" applyFont="1" applyBorder="1"/>
    <xf numFmtId="0" fontId="6" fillId="2" borderId="8" xfId="0" applyFont="1" applyFill="1" applyBorder="1"/>
    <xf numFmtId="10" fontId="0" fillId="4" borderId="12" xfId="1" applyNumberFormat="1" applyFont="1" applyFill="1" applyBorder="1"/>
    <xf numFmtId="2" fontId="0" fillId="4" borderId="13" xfId="0" applyNumberFormat="1" applyFill="1" applyBorder="1"/>
    <xf numFmtId="10" fontId="0" fillId="4" borderId="12" xfId="0" applyNumberFormat="1" applyFill="1" applyBorder="1"/>
    <xf numFmtId="2" fontId="0" fillId="4" borderId="15" xfId="0" applyNumberFormat="1" applyFill="1" applyBorder="1"/>
    <xf numFmtId="10" fontId="0" fillId="4" borderId="14" xfId="1" applyNumberFormat="1" applyFont="1" applyFill="1" applyBorder="1"/>
    <xf numFmtId="0" fontId="0" fillId="0" borderId="6" xfId="0" applyBorder="1"/>
    <xf numFmtId="0" fontId="0" fillId="0" borderId="9" xfId="0" applyBorder="1"/>
    <xf numFmtId="10" fontId="0" fillId="4" borderId="16" xfId="1" applyNumberFormat="1" applyFont="1" applyFill="1" applyBorder="1"/>
    <xf numFmtId="2" fontId="0" fillId="4" borderId="17" xfId="0" applyNumberFormat="1" applyFill="1" applyBorder="1"/>
    <xf numFmtId="0" fontId="2" fillId="0" borderId="14" xfId="0" applyFont="1" applyBorder="1"/>
    <xf numFmtId="0" fontId="2" fillId="0" borderId="15" xfId="0" applyFont="1" applyBorder="1"/>
    <xf numFmtId="0" fontId="2" fillId="5" borderId="2" xfId="0" applyFont="1" applyFill="1" applyBorder="1"/>
    <xf numFmtId="0" fontId="2" fillId="5" borderId="4" xfId="0" applyFont="1" applyFill="1" applyBorder="1"/>
    <xf numFmtId="0" fontId="0" fillId="5" borderId="5" xfId="0" applyFill="1" applyBorder="1"/>
    <xf numFmtId="0" fontId="0" fillId="5" borderId="6" xfId="0" applyFill="1" applyBorder="1"/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</cellXfs>
  <cellStyles count="3">
    <cellStyle name="CellNum" xfId="2" xr:uid="{918F0024-EEF3-4EA4-900C-2B9C39B5FC34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7AF0-E3AF-4AA4-ABED-2B3D2BB0F915}">
  <dimension ref="B1:K27"/>
  <sheetViews>
    <sheetView tabSelected="1" workbookViewId="0">
      <selection activeCell="C31" sqref="C31"/>
    </sheetView>
  </sheetViews>
  <sheetFormatPr defaultRowHeight="14.25" x14ac:dyDescent="0.2"/>
  <cols>
    <col min="1" max="1" width="20.375" bestFit="1" customWidth="1"/>
    <col min="2" max="2" width="13.5" customWidth="1"/>
    <col min="3" max="3" width="18.125" customWidth="1"/>
    <col min="4" max="4" width="25.125" bestFit="1" customWidth="1"/>
    <col min="5" max="5" width="12.875" customWidth="1"/>
    <col min="8" max="8" width="28.875" bestFit="1" customWidth="1"/>
  </cols>
  <sheetData>
    <row r="1" spans="2:11" ht="15" thickBot="1" x14ac:dyDescent="0.25"/>
    <row r="2" spans="2:11" ht="15.75" customHeight="1" thickBot="1" x14ac:dyDescent="0.3">
      <c r="F2" s="33" t="s">
        <v>257</v>
      </c>
      <c r="G2" s="34"/>
      <c r="H2" s="35" t="s">
        <v>258</v>
      </c>
    </row>
    <row r="3" spans="2:11" ht="15.75" thickBot="1" x14ac:dyDescent="0.3">
      <c r="B3" s="8" t="s">
        <v>255</v>
      </c>
      <c r="C3" s="9" t="s">
        <v>253</v>
      </c>
      <c r="D3" s="13" t="s">
        <v>254</v>
      </c>
      <c r="E3" s="16" t="s">
        <v>256</v>
      </c>
      <c r="F3" s="27" t="s">
        <v>247</v>
      </c>
      <c r="G3" s="28" t="s">
        <v>248</v>
      </c>
      <c r="H3" s="36"/>
    </row>
    <row r="4" spans="2:11" x14ac:dyDescent="0.2">
      <c r="B4" s="10" t="s">
        <v>8</v>
      </c>
      <c r="C4" s="6" t="s">
        <v>9</v>
      </c>
      <c r="D4" s="14" t="s">
        <v>10</v>
      </c>
      <c r="E4" s="7" t="str">
        <f>_xlfn.CONCAT(B4,C4,D4)</f>
        <v>CoalBlack Coal NSWSteam Sub Critical</v>
      </c>
      <c r="F4" s="25">
        <v>6.3100000000000003E-2</v>
      </c>
      <c r="G4" s="26">
        <v>157.62</v>
      </c>
      <c r="H4" s="23"/>
    </row>
    <row r="5" spans="2:11" x14ac:dyDescent="0.2">
      <c r="B5" s="10" t="s">
        <v>8</v>
      </c>
      <c r="C5" s="6" t="s">
        <v>13</v>
      </c>
      <c r="D5" s="14" t="s">
        <v>10</v>
      </c>
      <c r="E5" s="7" t="str">
        <f t="shared" ref="E5:E25" si="0">_xlfn.CONCAT(B5,C5,D5)</f>
        <v>CoalBlack Coal QLDSteam Sub Critical</v>
      </c>
      <c r="F5" s="18">
        <v>6.7500000000000004E-2</v>
      </c>
      <c r="G5" s="19">
        <v>185</v>
      </c>
      <c r="H5" s="23"/>
    </row>
    <row r="6" spans="2:11" x14ac:dyDescent="0.2">
      <c r="B6" s="10" t="s">
        <v>8</v>
      </c>
      <c r="C6" s="6" t="s">
        <v>13</v>
      </c>
      <c r="D6" s="14" t="s">
        <v>16</v>
      </c>
      <c r="E6" s="7" t="str">
        <f t="shared" si="0"/>
        <v>CoalBlack Coal QLDSteam Super Critical</v>
      </c>
      <c r="F6" s="18">
        <v>6.7500000000000004E-2</v>
      </c>
      <c r="G6" s="19">
        <v>185</v>
      </c>
      <c r="H6" s="23"/>
    </row>
    <row r="7" spans="2:11" x14ac:dyDescent="0.2">
      <c r="B7" s="10" t="s">
        <v>8</v>
      </c>
      <c r="C7" s="6" t="s">
        <v>25</v>
      </c>
      <c r="D7" s="14" t="s">
        <v>10</v>
      </c>
      <c r="E7" s="7" t="str">
        <f t="shared" si="0"/>
        <v>CoalBrown Coal VICSteam Sub Critical</v>
      </c>
      <c r="F7" s="18">
        <v>7.7499999999999999E-2</v>
      </c>
      <c r="G7" s="19">
        <v>90.05</v>
      </c>
      <c r="H7" s="23"/>
    </row>
    <row r="8" spans="2:11" x14ac:dyDescent="0.2">
      <c r="B8" s="10" t="s">
        <v>8</v>
      </c>
      <c r="C8" s="6" t="s">
        <v>42</v>
      </c>
      <c r="D8" s="14" t="s">
        <v>10</v>
      </c>
      <c r="E8" s="7" t="str">
        <f t="shared" si="0"/>
        <v>CoalBrown CoalSteam Sub Critical</v>
      </c>
      <c r="F8" s="18">
        <v>7.7499999999999999E-2</v>
      </c>
      <c r="G8" s="19">
        <v>90.05</v>
      </c>
      <c r="H8" s="23"/>
    </row>
    <row r="9" spans="2:11" x14ac:dyDescent="0.2">
      <c r="B9" s="10" t="s">
        <v>45</v>
      </c>
      <c r="C9" s="6" t="s">
        <v>45</v>
      </c>
      <c r="D9" s="14" t="s">
        <v>46</v>
      </c>
      <c r="E9" s="7" t="str">
        <f t="shared" si="0"/>
        <v>DieselDieselReciprocating Engine</v>
      </c>
      <c r="F9" s="20">
        <v>9.5799999999999996E-2</v>
      </c>
      <c r="G9" s="19">
        <v>150.19999999999999</v>
      </c>
      <c r="H9" s="23"/>
    </row>
    <row r="10" spans="2:11" x14ac:dyDescent="0.2">
      <c r="B10" s="10" t="s">
        <v>61</v>
      </c>
      <c r="C10" s="6" t="s">
        <v>62</v>
      </c>
      <c r="D10" s="14" t="s">
        <v>63</v>
      </c>
      <c r="E10" s="7" t="str">
        <f t="shared" si="0"/>
        <v>HydroRun-of-RiverVertical Francis</v>
      </c>
      <c r="F10" s="20">
        <v>5.11E-2</v>
      </c>
      <c r="G10" s="19">
        <v>38.1</v>
      </c>
      <c r="H10" s="23"/>
    </row>
    <row r="11" spans="2:11" x14ac:dyDescent="0.2">
      <c r="B11" s="10" t="s">
        <v>61</v>
      </c>
      <c r="C11" s="6" t="s">
        <v>66</v>
      </c>
      <c r="D11" s="14" t="s">
        <v>67</v>
      </c>
      <c r="E11" s="7" t="str">
        <f t="shared" si="0"/>
        <v>HydroReservoirFrancis</v>
      </c>
      <c r="F11" s="20">
        <v>5.11E-2</v>
      </c>
      <c r="G11" s="19">
        <v>38.1</v>
      </c>
      <c r="H11" s="23"/>
    </row>
    <row r="12" spans="2:11" x14ac:dyDescent="0.2">
      <c r="B12" s="10" t="s">
        <v>61</v>
      </c>
      <c r="C12" s="6" t="s">
        <v>62</v>
      </c>
      <c r="D12" s="14" t="s">
        <v>72</v>
      </c>
      <c r="E12" s="7" t="str">
        <f t="shared" si="0"/>
        <v>HydroRun-of-RiverFrancis / Pelton</v>
      </c>
      <c r="F12" s="20">
        <v>5.11E-2</v>
      </c>
      <c r="G12" s="19">
        <v>38.1</v>
      </c>
      <c r="H12" s="23"/>
      <c r="J12" s="2"/>
      <c r="K12" s="3"/>
    </row>
    <row r="13" spans="2:11" x14ac:dyDescent="0.2">
      <c r="B13" s="10" t="s">
        <v>61</v>
      </c>
      <c r="C13" s="6" t="s">
        <v>66</v>
      </c>
      <c r="D13" s="14" t="s">
        <v>85</v>
      </c>
      <c r="E13" s="7" t="str">
        <f t="shared" si="0"/>
        <v>HydroReservoirPelton</v>
      </c>
      <c r="F13" s="20">
        <v>5.11E-2</v>
      </c>
      <c r="G13" s="19">
        <v>38.1</v>
      </c>
      <c r="H13" s="23"/>
      <c r="J13" s="2"/>
      <c r="K13" s="3"/>
    </row>
    <row r="14" spans="2:11" x14ac:dyDescent="0.2">
      <c r="B14" s="10" t="s">
        <v>61</v>
      </c>
      <c r="C14" s="6" t="s">
        <v>66</v>
      </c>
      <c r="D14" s="14" t="s">
        <v>92</v>
      </c>
      <c r="E14" s="7" t="str">
        <f t="shared" si="0"/>
        <v>HydroReservoirKaplan</v>
      </c>
      <c r="F14" s="20">
        <v>5.11E-2</v>
      </c>
      <c r="G14" s="19">
        <v>38.1</v>
      </c>
      <c r="H14" s="23"/>
      <c r="J14" s="2"/>
      <c r="K14" s="3"/>
    </row>
    <row r="15" spans="2:11" x14ac:dyDescent="0.2">
      <c r="B15" s="10" t="s">
        <v>61</v>
      </c>
      <c r="C15" s="6" t="s">
        <v>62</v>
      </c>
      <c r="D15" s="14" t="s">
        <v>85</v>
      </c>
      <c r="E15" s="7" t="str">
        <f t="shared" si="0"/>
        <v>HydroRun-of-RiverPelton</v>
      </c>
      <c r="F15" s="20">
        <v>5.11E-2</v>
      </c>
      <c r="G15" s="19">
        <v>38.1</v>
      </c>
      <c r="H15" s="23"/>
      <c r="J15" s="2"/>
      <c r="K15" s="3"/>
    </row>
    <row r="16" spans="2:11" x14ac:dyDescent="0.2">
      <c r="B16" s="10" t="s">
        <v>61</v>
      </c>
      <c r="C16" s="6" t="s">
        <v>66</v>
      </c>
      <c r="D16" s="14" t="s">
        <v>113</v>
      </c>
      <c r="E16" s="7" t="str">
        <f t="shared" si="0"/>
        <v>HydroReservoirNozzle-spear Pelton</v>
      </c>
      <c r="F16" s="20">
        <v>5.11E-2</v>
      </c>
      <c r="G16" s="19">
        <v>38.1</v>
      </c>
      <c r="H16" s="23"/>
      <c r="J16" s="2"/>
      <c r="K16" s="3"/>
    </row>
    <row r="17" spans="2:11" x14ac:dyDescent="0.2">
      <c r="B17" s="10" t="s">
        <v>129</v>
      </c>
      <c r="C17" s="6" t="s">
        <v>130</v>
      </c>
      <c r="D17" s="14" t="s">
        <v>130</v>
      </c>
      <c r="E17" s="7" t="str">
        <f t="shared" si="0"/>
        <v>HydrogenHydrogen-based gas turbinesHydrogen-based gas turbines</v>
      </c>
      <c r="F17" s="20">
        <v>2.0000000000000001E-4</v>
      </c>
      <c r="G17" s="19">
        <v>22</v>
      </c>
      <c r="H17" s="23"/>
      <c r="J17" s="2"/>
      <c r="K17" s="3"/>
    </row>
    <row r="18" spans="2:11" x14ac:dyDescent="0.2">
      <c r="B18" s="10" t="s">
        <v>134</v>
      </c>
      <c r="C18" s="6" t="s">
        <v>135</v>
      </c>
      <c r="D18" s="14" t="s">
        <v>135</v>
      </c>
      <c r="E18" s="7" t="str">
        <f t="shared" si="0"/>
        <v>Natural GasOCGTOCGT</v>
      </c>
      <c r="F18" s="20">
        <v>7.2099999999999997E-2</v>
      </c>
      <c r="G18" s="19">
        <v>44.08</v>
      </c>
      <c r="H18" s="23"/>
      <c r="J18" s="2"/>
      <c r="K18" s="3"/>
    </row>
    <row r="19" spans="2:11" x14ac:dyDescent="0.2">
      <c r="B19" s="10" t="s">
        <v>134</v>
      </c>
      <c r="C19" s="6" t="s">
        <v>152</v>
      </c>
      <c r="D19" s="14" t="s">
        <v>152</v>
      </c>
      <c r="E19" s="7" t="str">
        <f t="shared" si="0"/>
        <v>Natural GasCCGTCCGT</v>
      </c>
      <c r="F19" s="20">
        <v>5.04E-2</v>
      </c>
      <c r="G19" s="19">
        <v>61.19</v>
      </c>
      <c r="H19" s="23"/>
      <c r="J19" s="2"/>
      <c r="K19" s="3"/>
    </row>
    <row r="20" spans="2:11" x14ac:dyDescent="0.2">
      <c r="B20" s="10" t="s">
        <v>134</v>
      </c>
      <c r="C20" s="6" t="s">
        <v>135</v>
      </c>
      <c r="D20" s="14" t="s">
        <v>159</v>
      </c>
      <c r="E20" s="7" t="str">
        <f t="shared" si="0"/>
        <v>Natural GasOCGTGE Frame 5</v>
      </c>
      <c r="F20" s="20">
        <v>7.2099999999999997E-2</v>
      </c>
      <c r="G20" s="19">
        <v>44.08</v>
      </c>
      <c r="H20" s="23" t="s">
        <v>259</v>
      </c>
      <c r="J20" s="2"/>
      <c r="K20" s="3"/>
    </row>
    <row r="21" spans="2:11" x14ac:dyDescent="0.2">
      <c r="B21" s="10" t="s">
        <v>134</v>
      </c>
      <c r="C21" s="6" t="s">
        <v>135</v>
      </c>
      <c r="D21" s="14" t="s">
        <v>175</v>
      </c>
      <c r="E21" s="7" t="str">
        <f t="shared" si="0"/>
        <v>Natural GasOCGTGas-powered steam turbine</v>
      </c>
      <c r="F21" s="20">
        <v>5.04E-2</v>
      </c>
      <c r="G21" s="19">
        <v>61.19</v>
      </c>
      <c r="H21" s="23"/>
      <c r="J21" s="2"/>
      <c r="K21" s="3"/>
    </row>
    <row r="22" spans="2:11" x14ac:dyDescent="0.2">
      <c r="B22" s="10" t="s">
        <v>134</v>
      </c>
      <c r="C22" s="6" t="s">
        <v>135</v>
      </c>
      <c r="D22" s="14" t="s">
        <v>190</v>
      </c>
      <c r="E22" s="7" t="str">
        <f t="shared" si="0"/>
        <v>Natural GasOCGTFrame 6B</v>
      </c>
      <c r="F22" s="20">
        <v>7.2099999999999997E-2</v>
      </c>
      <c r="G22" s="19">
        <v>44.08</v>
      </c>
      <c r="H22" s="23" t="s">
        <v>259</v>
      </c>
      <c r="J22" s="2"/>
      <c r="K22" s="3"/>
    </row>
    <row r="23" spans="2:11" x14ac:dyDescent="0.2">
      <c r="B23" s="10" t="s">
        <v>212</v>
      </c>
      <c r="C23" s="6" t="s">
        <v>213</v>
      </c>
      <c r="D23" s="14" t="s">
        <v>213</v>
      </c>
      <c r="E23" s="7" t="str">
        <f t="shared" si="0"/>
        <v>SolarRoofPVRoofPV</v>
      </c>
      <c r="F23" s="18">
        <v>0</v>
      </c>
      <c r="G23" s="19">
        <v>1</v>
      </c>
      <c r="H23" s="23"/>
      <c r="J23" s="2"/>
      <c r="K23" s="3"/>
    </row>
    <row r="24" spans="2:11" x14ac:dyDescent="0.2">
      <c r="B24" s="10" t="s">
        <v>212</v>
      </c>
      <c r="C24" s="6" t="s">
        <v>226</v>
      </c>
      <c r="D24" s="14" t="s">
        <v>226</v>
      </c>
      <c r="E24" s="7" t="str">
        <f t="shared" si="0"/>
        <v>SolarLargePVLargePV</v>
      </c>
      <c r="F24" s="18">
        <v>0</v>
      </c>
      <c r="G24" s="19">
        <v>1</v>
      </c>
      <c r="H24" s="23"/>
      <c r="J24" s="2"/>
      <c r="K24" s="3"/>
    </row>
    <row r="25" spans="2:11" ht="15" thickBot="1" x14ac:dyDescent="0.25">
      <c r="B25" s="11" t="s">
        <v>237</v>
      </c>
      <c r="C25" s="12" t="s">
        <v>237</v>
      </c>
      <c r="D25" s="15" t="s">
        <v>237</v>
      </c>
      <c r="E25" s="17" t="str">
        <f t="shared" si="0"/>
        <v>WindWindWind</v>
      </c>
      <c r="F25" s="22">
        <v>0</v>
      </c>
      <c r="G25" s="21">
        <v>1</v>
      </c>
      <c r="H25" s="24"/>
      <c r="J25" s="2"/>
      <c r="K25" s="3"/>
    </row>
    <row r="26" spans="2:11" x14ac:dyDescent="0.2">
      <c r="J26" s="2"/>
      <c r="K26" s="3"/>
    </row>
    <row r="27" spans="2:11" x14ac:dyDescent="0.2">
      <c r="J27" s="2"/>
      <c r="K27" s="3"/>
    </row>
  </sheetData>
  <mergeCells count="2">
    <mergeCell ref="F2:G2"/>
    <mergeCell ref="H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0294B-1882-4AE0-B164-6DB73A3E4F89}">
  <dimension ref="A1:R124"/>
  <sheetViews>
    <sheetView workbookViewId="0">
      <selection activeCell="J20" sqref="J20"/>
    </sheetView>
  </sheetViews>
  <sheetFormatPr defaultRowHeight="14.25" x14ac:dyDescent="0.2"/>
  <cols>
    <col min="1" max="1" width="3.875" bestFit="1" customWidth="1"/>
    <col min="2" max="2" width="14.625" customWidth="1"/>
    <col min="3" max="3" width="17" customWidth="1"/>
    <col min="4" max="4" width="11.875" customWidth="1"/>
    <col min="5" max="5" width="13.75" customWidth="1"/>
    <col min="6" max="6" width="21.125" customWidth="1"/>
    <col min="7" max="7" width="9" style="5"/>
    <col min="12" max="12" width="15.875" style="31" bestFit="1" customWidth="1"/>
    <col min="13" max="13" width="13.75" style="32" bestFit="1" customWidth="1"/>
    <col min="17" max="17" width="19.75" bestFit="1" customWidth="1"/>
    <col min="18" max="18" width="17.25" bestFit="1" customWidth="1"/>
  </cols>
  <sheetData>
    <row r="1" spans="1:18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256</v>
      </c>
      <c r="I1" s="1" t="s">
        <v>260</v>
      </c>
      <c r="J1" s="1" t="s">
        <v>261</v>
      </c>
      <c r="L1" s="29" t="s">
        <v>249</v>
      </c>
      <c r="M1" s="30" t="s">
        <v>250</v>
      </c>
      <c r="Q1" s="1" t="s">
        <v>251</v>
      </c>
      <c r="R1" s="1" t="s">
        <v>252</v>
      </c>
    </row>
    <row r="2" spans="1:18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s="5" t="str">
        <f>_xlfn.CONCAT(D2,E2,F2)</f>
        <v>CoalBlack Coal NSWSteam Sub Critical</v>
      </c>
      <c r="I2" s="2">
        <f>_xlfn.XLOOKUP(G2,Input!$E$4:$E$25,Input!$F$4:$F$25)</f>
        <v>6.3100000000000003E-2</v>
      </c>
      <c r="J2" s="3">
        <f>_xlfn.XLOOKUP(G2,Input!$E$4:$E$25,Input!$G$4:$G$25)</f>
        <v>157.62</v>
      </c>
      <c r="L2" s="31">
        <f>I2/(J2*(1-I2))</f>
        <v>4.2729203476588853E-4</v>
      </c>
      <c r="M2" s="32">
        <f>1/J2</f>
        <v>6.3443725415556398E-3</v>
      </c>
      <c r="Q2">
        <v>4.0033000000000001E-4</v>
      </c>
      <c r="R2">
        <v>6.3443730000000004E-3</v>
      </c>
    </row>
    <row r="3" spans="1:18" x14ac:dyDescent="0.2">
      <c r="A3">
        <v>2</v>
      </c>
      <c r="B3" t="s">
        <v>11</v>
      </c>
      <c r="C3" t="s">
        <v>12</v>
      </c>
      <c r="D3" t="s">
        <v>8</v>
      </c>
      <c r="E3" t="s">
        <v>13</v>
      </c>
      <c r="F3" t="s">
        <v>10</v>
      </c>
      <c r="G3" s="5" t="str">
        <f t="shared" ref="G3:G66" si="0">_xlfn.CONCAT(D3,E3,F3)</f>
        <v>CoalBlack Coal QLDSteam Sub Critical</v>
      </c>
      <c r="I3" s="2">
        <f>_xlfn.XLOOKUP(G3,Input!$E$4:$E$25,Input!$F$4:$F$25)</f>
        <v>6.7500000000000004E-2</v>
      </c>
      <c r="J3" s="3">
        <f>_xlfn.XLOOKUP(G3,Input!$E$4:$E$25,Input!$G$4:$G$25)</f>
        <v>185</v>
      </c>
      <c r="L3" s="31">
        <f t="shared" ref="L3:L16" si="1">I3/(J3*(1-I3))</f>
        <v>3.9127599449315272E-4</v>
      </c>
      <c r="M3" s="32">
        <f t="shared" ref="M3:M16" si="2">1/J3</f>
        <v>5.4054054054054057E-3</v>
      </c>
      <c r="Q3">
        <v>3.6486500000000002E-4</v>
      </c>
      <c r="R3">
        <v>5.4054050000000003E-3</v>
      </c>
    </row>
    <row r="4" spans="1:18" x14ac:dyDescent="0.2">
      <c r="A4">
        <v>3</v>
      </c>
      <c r="B4" t="s">
        <v>14</v>
      </c>
      <c r="C4" t="s">
        <v>15</v>
      </c>
      <c r="D4" t="s">
        <v>8</v>
      </c>
      <c r="E4" t="s">
        <v>13</v>
      </c>
      <c r="F4" t="s">
        <v>16</v>
      </c>
      <c r="G4" s="5" t="str">
        <f t="shared" si="0"/>
        <v>CoalBlack Coal QLDSteam Super Critical</v>
      </c>
      <c r="I4" s="2">
        <f>_xlfn.XLOOKUP(G4,Input!$E$4:$E$25,Input!$F$4:$F$25)</f>
        <v>6.7500000000000004E-2</v>
      </c>
      <c r="J4" s="3">
        <f>_xlfn.XLOOKUP(G4,Input!$E$4:$E$25,Input!$G$4:$G$25)</f>
        <v>185</v>
      </c>
      <c r="L4" s="31">
        <f t="shared" si="1"/>
        <v>3.9127599449315272E-4</v>
      </c>
      <c r="M4" s="32">
        <f t="shared" si="2"/>
        <v>5.4054054054054057E-3</v>
      </c>
      <c r="Q4">
        <v>3.6486500000000002E-4</v>
      </c>
      <c r="R4">
        <v>5.4054050000000003E-3</v>
      </c>
    </row>
    <row r="5" spans="1:18" x14ac:dyDescent="0.2">
      <c r="A5">
        <v>4</v>
      </c>
      <c r="B5" t="s">
        <v>17</v>
      </c>
      <c r="C5" t="s">
        <v>18</v>
      </c>
      <c r="D5" t="s">
        <v>8</v>
      </c>
      <c r="E5" t="s">
        <v>9</v>
      </c>
      <c r="F5" t="s">
        <v>10</v>
      </c>
      <c r="G5" s="5" t="str">
        <f t="shared" si="0"/>
        <v>CoalBlack Coal NSWSteam Sub Critical</v>
      </c>
      <c r="I5" s="2">
        <f>_xlfn.XLOOKUP(G5,Input!$E$4:$E$25,Input!$F$4:$F$25)</f>
        <v>6.3100000000000003E-2</v>
      </c>
      <c r="J5" s="3">
        <f>_xlfn.XLOOKUP(G5,Input!$E$4:$E$25,Input!$G$4:$G$25)</f>
        <v>157.62</v>
      </c>
      <c r="L5" s="31">
        <f t="shared" si="1"/>
        <v>4.2729203476588853E-4</v>
      </c>
      <c r="M5" s="32">
        <f t="shared" si="2"/>
        <v>6.3443725415556398E-3</v>
      </c>
      <c r="Q5">
        <v>4.0033000000000001E-4</v>
      </c>
      <c r="R5">
        <v>6.3443730000000004E-3</v>
      </c>
    </row>
    <row r="6" spans="1:18" x14ac:dyDescent="0.2">
      <c r="A6">
        <v>5</v>
      </c>
      <c r="B6" t="s">
        <v>19</v>
      </c>
      <c r="C6" t="s">
        <v>20</v>
      </c>
      <c r="D6" t="s">
        <v>8</v>
      </c>
      <c r="E6" t="s">
        <v>13</v>
      </c>
      <c r="F6" t="s">
        <v>10</v>
      </c>
      <c r="G6" s="5" t="str">
        <f t="shared" si="0"/>
        <v>CoalBlack Coal QLDSteam Sub Critical</v>
      </c>
      <c r="I6" s="2">
        <f>_xlfn.XLOOKUP(G6,Input!$E$4:$E$25,Input!$F$4:$F$25)</f>
        <v>6.7500000000000004E-2</v>
      </c>
      <c r="J6" s="3">
        <f>_xlfn.XLOOKUP(G6,Input!$E$4:$E$25,Input!$G$4:$G$25)</f>
        <v>185</v>
      </c>
      <c r="L6" s="31">
        <f t="shared" si="1"/>
        <v>3.9127599449315272E-4</v>
      </c>
      <c r="M6" s="32">
        <f t="shared" si="2"/>
        <v>5.4054054054054057E-3</v>
      </c>
      <c r="Q6">
        <v>3.6486500000000002E-4</v>
      </c>
      <c r="R6">
        <v>5.4054050000000003E-3</v>
      </c>
    </row>
    <row r="7" spans="1:18" x14ac:dyDescent="0.2">
      <c r="A7">
        <v>6</v>
      </c>
      <c r="B7" t="s">
        <v>21</v>
      </c>
      <c r="C7" t="s">
        <v>22</v>
      </c>
      <c r="D7" t="s">
        <v>8</v>
      </c>
      <c r="E7" t="s">
        <v>13</v>
      </c>
      <c r="F7" t="s">
        <v>16</v>
      </c>
      <c r="G7" s="5" t="str">
        <f t="shared" si="0"/>
        <v>CoalBlack Coal QLDSteam Super Critical</v>
      </c>
      <c r="I7" s="2">
        <f>_xlfn.XLOOKUP(G7,Input!$E$4:$E$25,Input!$F$4:$F$25)</f>
        <v>6.7500000000000004E-2</v>
      </c>
      <c r="J7" s="3">
        <f>_xlfn.XLOOKUP(G7,Input!$E$4:$E$25,Input!$G$4:$G$25)</f>
        <v>185</v>
      </c>
      <c r="L7" s="31">
        <f t="shared" si="1"/>
        <v>3.9127599449315272E-4</v>
      </c>
      <c r="M7" s="32">
        <f t="shared" si="2"/>
        <v>5.4054054054054057E-3</v>
      </c>
      <c r="Q7">
        <v>3.6486500000000002E-4</v>
      </c>
      <c r="R7">
        <v>5.4054050000000003E-3</v>
      </c>
    </row>
    <row r="8" spans="1:18" x14ac:dyDescent="0.2">
      <c r="A8">
        <v>7</v>
      </c>
      <c r="B8" t="s">
        <v>23</v>
      </c>
      <c r="C8" t="s">
        <v>24</v>
      </c>
      <c r="D8" t="s">
        <v>8</v>
      </c>
      <c r="E8" t="s">
        <v>25</v>
      </c>
      <c r="F8" t="s">
        <v>10</v>
      </c>
      <c r="G8" s="5" t="str">
        <f t="shared" si="0"/>
        <v>CoalBrown Coal VICSteam Sub Critical</v>
      </c>
      <c r="I8" s="2">
        <f>_xlfn.XLOOKUP(G8,Input!$E$4:$E$25,Input!$F$4:$F$25)</f>
        <v>7.7499999999999999E-2</v>
      </c>
      <c r="J8" s="3">
        <f>_xlfn.XLOOKUP(G8,Input!$E$4:$E$25,Input!$G$4:$G$25)</f>
        <v>90.05</v>
      </c>
      <c r="L8" s="31">
        <f t="shared" si="1"/>
        <v>9.3293548149251629E-4</v>
      </c>
      <c r="M8" s="32">
        <f t="shared" si="2"/>
        <v>1.1104941699056081E-2</v>
      </c>
      <c r="Q8">
        <v>8.6063299999999997E-4</v>
      </c>
      <c r="R8">
        <v>1.1104942E-2</v>
      </c>
    </row>
    <row r="9" spans="1:18" x14ac:dyDescent="0.2">
      <c r="A9">
        <v>8</v>
      </c>
      <c r="B9" t="s">
        <v>26</v>
      </c>
      <c r="C9" t="s">
        <v>27</v>
      </c>
      <c r="D9" t="s">
        <v>8</v>
      </c>
      <c r="E9" t="s">
        <v>25</v>
      </c>
      <c r="F9" t="s">
        <v>10</v>
      </c>
      <c r="G9" s="5" t="str">
        <f t="shared" si="0"/>
        <v>CoalBrown Coal VICSteam Sub Critical</v>
      </c>
      <c r="I9" s="2">
        <f>_xlfn.XLOOKUP(G9,Input!$E$4:$E$25,Input!$F$4:$F$25)</f>
        <v>7.7499999999999999E-2</v>
      </c>
      <c r="J9" s="3">
        <f>_xlfn.XLOOKUP(G9,Input!$E$4:$E$25,Input!$G$4:$G$25)</f>
        <v>90.05</v>
      </c>
      <c r="L9" s="31">
        <f t="shared" si="1"/>
        <v>9.3293548149251629E-4</v>
      </c>
      <c r="M9" s="32">
        <f t="shared" si="2"/>
        <v>1.1104941699056081E-2</v>
      </c>
      <c r="Q9">
        <v>8.6063299999999997E-4</v>
      </c>
      <c r="R9">
        <v>1.1104942E-2</v>
      </c>
    </row>
    <row r="10" spans="1:18" x14ac:dyDescent="0.2">
      <c r="A10">
        <v>9</v>
      </c>
      <c r="B10" t="s">
        <v>28</v>
      </c>
      <c r="C10" t="s">
        <v>29</v>
      </c>
      <c r="D10" t="s">
        <v>8</v>
      </c>
      <c r="E10" t="s">
        <v>13</v>
      </c>
      <c r="F10" t="s">
        <v>16</v>
      </c>
      <c r="G10" s="5" t="str">
        <f t="shared" si="0"/>
        <v>CoalBlack Coal QLDSteam Super Critical</v>
      </c>
      <c r="I10" s="2">
        <f>_xlfn.XLOOKUP(G10,Input!$E$4:$E$25,Input!$F$4:$F$25)</f>
        <v>6.7500000000000004E-2</v>
      </c>
      <c r="J10" s="3">
        <f>_xlfn.XLOOKUP(G10,Input!$E$4:$E$25,Input!$G$4:$G$25)</f>
        <v>185</v>
      </c>
      <c r="L10" s="31">
        <f t="shared" si="1"/>
        <v>3.9127599449315272E-4</v>
      </c>
      <c r="M10" s="32">
        <f t="shared" si="2"/>
        <v>5.4054054054054057E-3</v>
      </c>
      <c r="Q10">
        <v>3.6486500000000002E-4</v>
      </c>
      <c r="R10">
        <v>5.4054050000000003E-3</v>
      </c>
    </row>
    <row r="11" spans="1:18" x14ac:dyDescent="0.2">
      <c r="A11">
        <v>10</v>
      </c>
      <c r="B11" t="s">
        <v>30</v>
      </c>
      <c r="C11" t="s">
        <v>31</v>
      </c>
      <c r="D11" t="s">
        <v>8</v>
      </c>
      <c r="E11" t="s">
        <v>9</v>
      </c>
      <c r="F11" t="s">
        <v>10</v>
      </c>
      <c r="G11" s="5" t="str">
        <f t="shared" si="0"/>
        <v>CoalBlack Coal NSWSteam Sub Critical</v>
      </c>
      <c r="I11" s="2">
        <f>_xlfn.XLOOKUP(G11,Input!$E$4:$E$25,Input!$F$4:$F$25)</f>
        <v>6.3100000000000003E-2</v>
      </c>
      <c r="J11" s="3">
        <f>_xlfn.XLOOKUP(G11,Input!$E$4:$E$25,Input!$G$4:$G$25)</f>
        <v>157.62</v>
      </c>
      <c r="L11" s="31">
        <f t="shared" si="1"/>
        <v>4.2729203476588853E-4</v>
      </c>
      <c r="M11" s="32">
        <f t="shared" si="2"/>
        <v>6.3443725415556398E-3</v>
      </c>
      <c r="Q11">
        <v>4.0033000000000001E-4</v>
      </c>
      <c r="R11">
        <v>6.3443730000000004E-3</v>
      </c>
    </row>
    <row r="12" spans="1:18" x14ac:dyDescent="0.2">
      <c r="A12">
        <v>11</v>
      </c>
      <c r="B12" t="s">
        <v>32</v>
      </c>
      <c r="C12" t="s">
        <v>33</v>
      </c>
      <c r="D12" t="s">
        <v>8</v>
      </c>
      <c r="E12" t="s">
        <v>13</v>
      </c>
      <c r="F12" t="s">
        <v>10</v>
      </c>
      <c r="G12" s="5" t="str">
        <f t="shared" si="0"/>
        <v>CoalBlack Coal QLDSteam Sub Critical</v>
      </c>
      <c r="I12" s="2">
        <f>_xlfn.XLOOKUP(G12,Input!$E$4:$E$25,Input!$F$4:$F$25)</f>
        <v>6.7500000000000004E-2</v>
      </c>
      <c r="J12" s="3">
        <f>_xlfn.XLOOKUP(G12,Input!$E$4:$E$25,Input!$G$4:$G$25)</f>
        <v>185</v>
      </c>
      <c r="L12" s="31">
        <f t="shared" si="1"/>
        <v>3.9127599449315272E-4</v>
      </c>
      <c r="M12" s="32">
        <f t="shared" si="2"/>
        <v>5.4054054054054057E-3</v>
      </c>
      <c r="Q12">
        <v>3.6486500000000002E-4</v>
      </c>
      <c r="R12">
        <v>5.4054050000000003E-3</v>
      </c>
    </row>
    <row r="13" spans="1:18" x14ac:dyDescent="0.2">
      <c r="A13">
        <v>12</v>
      </c>
      <c r="B13" t="s">
        <v>34</v>
      </c>
      <c r="C13" t="s">
        <v>35</v>
      </c>
      <c r="D13" t="s">
        <v>8</v>
      </c>
      <c r="E13" t="s">
        <v>13</v>
      </c>
      <c r="F13" t="s">
        <v>10</v>
      </c>
      <c r="G13" s="5" t="str">
        <f t="shared" si="0"/>
        <v>CoalBlack Coal QLDSteam Sub Critical</v>
      </c>
      <c r="I13" s="2">
        <f>_xlfn.XLOOKUP(G13,Input!$E$4:$E$25,Input!$F$4:$F$25)</f>
        <v>6.7500000000000004E-2</v>
      </c>
      <c r="J13" s="3">
        <f>_xlfn.XLOOKUP(G13,Input!$E$4:$E$25,Input!$G$4:$G$25)</f>
        <v>185</v>
      </c>
      <c r="L13" s="31">
        <f t="shared" si="1"/>
        <v>3.9127599449315272E-4</v>
      </c>
      <c r="M13" s="32">
        <f t="shared" si="2"/>
        <v>5.4054054054054057E-3</v>
      </c>
      <c r="Q13">
        <v>3.6486500000000002E-4</v>
      </c>
      <c r="R13">
        <v>5.4054050000000003E-3</v>
      </c>
    </row>
    <row r="14" spans="1:18" x14ac:dyDescent="0.2">
      <c r="A14">
        <v>13</v>
      </c>
      <c r="B14" t="s">
        <v>36</v>
      </c>
      <c r="C14" t="s">
        <v>37</v>
      </c>
      <c r="D14" t="s">
        <v>8</v>
      </c>
      <c r="E14" t="s">
        <v>13</v>
      </c>
      <c r="F14" t="s">
        <v>16</v>
      </c>
      <c r="G14" s="5" t="str">
        <f t="shared" si="0"/>
        <v>CoalBlack Coal QLDSteam Super Critical</v>
      </c>
      <c r="I14" s="2">
        <f>_xlfn.XLOOKUP(G14,Input!$E$4:$E$25,Input!$F$4:$F$25)</f>
        <v>6.7500000000000004E-2</v>
      </c>
      <c r="J14" s="3">
        <f>_xlfn.XLOOKUP(G14,Input!$E$4:$E$25,Input!$G$4:$G$25)</f>
        <v>185</v>
      </c>
      <c r="L14" s="31">
        <f t="shared" si="1"/>
        <v>3.9127599449315272E-4</v>
      </c>
      <c r="M14" s="32">
        <f t="shared" si="2"/>
        <v>5.4054054054054057E-3</v>
      </c>
      <c r="Q14">
        <v>3.6486500000000002E-4</v>
      </c>
      <c r="R14">
        <v>5.4054050000000003E-3</v>
      </c>
    </row>
    <row r="15" spans="1:18" x14ac:dyDescent="0.2">
      <c r="A15">
        <v>14</v>
      </c>
      <c r="B15" t="s">
        <v>38</v>
      </c>
      <c r="C15" t="s">
        <v>39</v>
      </c>
      <c r="D15" t="s">
        <v>8</v>
      </c>
      <c r="E15" t="s">
        <v>9</v>
      </c>
      <c r="F15" t="s">
        <v>10</v>
      </c>
      <c r="G15" s="5" t="str">
        <f t="shared" si="0"/>
        <v>CoalBlack Coal NSWSteam Sub Critical</v>
      </c>
      <c r="I15" s="2">
        <f>_xlfn.XLOOKUP(G15,Input!$E$4:$E$25,Input!$F$4:$F$25)</f>
        <v>6.3100000000000003E-2</v>
      </c>
      <c r="J15" s="3">
        <f>_xlfn.XLOOKUP(G15,Input!$E$4:$E$25,Input!$G$4:$G$25)</f>
        <v>157.62</v>
      </c>
      <c r="L15" s="31">
        <f t="shared" si="1"/>
        <v>4.2729203476588853E-4</v>
      </c>
      <c r="M15" s="32">
        <f t="shared" si="2"/>
        <v>6.3443725415556398E-3</v>
      </c>
      <c r="Q15">
        <v>4.0033000000000001E-4</v>
      </c>
      <c r="R15">
        <v>6.3443730000000004E-3</v>
      </c>
    </row>
    <row r="16" spans="1:18" x14ac:dyDescent="0.2">
      <c r="A16">
        <v>15</v>
      </c>
      <c r="B16" t="s">
        <v>40</v>
      </c>
      <c r="C16" t="s">
        <v>41</v>
      </c>
      <c r="D16" t="s">
        <v>8</v>
      </c>
      <c r="E16" t="s">
        <v>42</v>
      </c>
      <c r="F16" t="s">
        <v>10</v>
      </c>
      <c r="G16" s="5" t="str">
        <f t="shared" si="0"/>
        <v>CoalBrown CoalSteam Sub Critical</v>
      </c>
      <c r="I16" s="2">
        <f>_xlfn.XLOOKUP(G16,Input!$E$4:$E$25,Input!$F$4:$F$25)</f>
        <v>7.7499999999999999E-2</v>
      </c>
      <c r="J16" s="3">
        <f>_xlfn.XLOOKUP(G16,Input!$E$4:$E$25,Input!$G$4:$G$25)</f>
        <v>90.05</v>
      </c>
      <c r="L16" s="31">
        <f t="shared" si="1"/>
        <v>9.3293548149251629E-4</v>
      </c>
      <c r="M16" s="32">
        <f t="shared" si="2"/>
        <v>1.1104941699056081E-2</v>
      </c>
      <c r="Q16">
        <v>8.6063299999999997E-4</v>
      </c>
      <c r="R16">
        <v>1.1104942E-2</v>
      </c>
    </row>
    <row r="17" spans="1:18" x14ac:dyDescent="0.2">
      <c r="A17">
        <v>16</v>
      </c>
      <c r="B17" t="s">
        <v>43</v>
      </c>
      <c r="C17" t="s">
        <v>44</v>
      </c>
      <c r="D17" t="s">
        <v>45</v>
      </c>
      <c r="E17" t="s">
        <v>45</v>
      </c>
      <c r="F17" t="s">
        <v>46</v>
      </c>
      <c r="G17" s="5" t="str">
        <f t="shared" si="0"/>
        <v>DieselDieselReciprocating Engine</v>
      </c>
      <c r="I17" s="2">
        <f>_xlfn.XLOOKUP(G17,Input!$E$4:$E$25,Input!$F$4:$F$25)</f>
        <v>9.5799999999999996E-2</v>
      </c>
      <c r="J17" s="3">
        <f>_xlfn.XLOOKUP(G17,Input!$E$4:$E$25,Input!$G$4:$G$25)</f>
        <v>150.19999999999999</v>
      </c>
      <c r="L17" s="31">
        <f t="shared" ref="L17:L23" si="3">I17/(J17*(1-I17))</f>
        <v>7.0539288321904206E-4</v>
      </c>
      <c r="M17" s="32">
        <f t="shared" ref="M17:M23" si="4">1/J17</f>
        <v>6.6577896138482031E-3</v>
      </c>
      <c r="Q17">
        <v>6.3781600000000003E-4</v>
      </c>
      <c r="R17">
        <v>6.6577900000000002E-3</v>
      </c>
    </row>
    <row r="18" spans="1:18" x14ac:dyDescent="0.2">
      <c r="A18">
        <v>17</v>
      </c>
      <c r="B18" t="s">
        <v>47</v>
      </c>
      <c r="C18" t="s">
        <v>48</v>
      </c>
      <c r="D18" t="s">
        <v>45</v>
      </c>
      <c r="E18" t="s">
        <v>45</v>
      </c>
      <c r="F18" t="s">
        <v>46</v>
      </c>
      <c r="G18" s="5" t="str">
        <f t="shared" si="0"/>
        <v>DieselDieselReciprocating Engine</v>
      </c>
      <c r="I18" s="2">
        <f>_xlfn.XLOOKUP(G18,Input!$E$4:$E$25,Input!$F$4:$F$25)</f>
        <v>9.5799999999999996E-2</v>
      </c>
      <c r="J18" s="3">
        <f>_xlfn.XLOOKUP(G18,Input!$E$4:$E$25,Input!$G$4:$G$25)</f>
        <v>150.19999999999999</v>
      </c>
      <c r="L18" s="31">
        <f t="shared" si="3"/>
        <v>7.0539288321904206E-4</v>
      </c>
      <c r="M18" s="32">
        <f t="shared" si="4"/>
        <v>6.6577896138482031E-3</v>
      </c>
      <c r="Q18">
        <v>6.3781600000000003E-4</v>
      </c>
      <c r="R18">
        <v>6.6577900000000002E-3</v>
      </c>
    </row>
    <row r="19" spans="1:18" x14ac:dyDescent="0.2">
      <c r="A19">
        <v>18</v>
      </c>
      <c r="B19" t="s">
        <v>49</v>
      </c>
      <c r="C19" t="s">
        <v>50</v>
      </c>
      <c r="D19" t="s">
        <v>45</v>
      </c>
      <c r="E19" t="s">
        <v>45</v>
      </c>
      <c r="F19" t="s">
        <v>46</v>
      </c>
      <c r="G19" s="5" t="str">
        <f t="shared" si="0"/>
        <v>DieselDieselReciprocating Engine</v>
      </c>
      <c r="I19" s="2">
        <f>_xlfn.XLOOKUP(G19,Input!$E$4:$E$25,Input!$F$4:$F$25)</f>
        <v>9.5799999999999996E-2</v>
      </c>
      <c r="J19" s="3">
        <f>_xlfn.XLOOKUP(G19,Input!$E$4:$E$25,Input!$G$4:$G$25)</f>
        <v>150.19999999999999</v>
      </c>
      <c r="L19" s="31">
        <f t="shared" si="3"/>
        <v>7.0539288321904206E-4</v>
      </c>
      <c r="M19" s="32">
        <f t="shared" si="4"/>
        <v>6.6577896138482031E-3</v>
      </c>
      <c r="Q19">
        <v>6.3781600000000003E-4</v>
      </c>
      <c r="R19">
        <v>6.6577900000000002E-3</v>
      </c>
    </row>
    <row r="20" spans="1:18" x14ac:dyDescent="0.2">
      <c r="A20">
        <v>19</v>
      </c>
      <c r="B20" t="s">
        <v>51</v>
      </c>
      <c r="C20" t="s">
        <v>52</v>
      </c>
      <c r="D20" t="s">
        <v>45</v>
      </c>
      <c r="E20" t="s">
        <v>45</v>
      </c>
      <c r="F20" t="s">
        <v>46</v>
      </c>
      <c r="G20" s="5" t="str">
        <f t="shared" si="0"/>
        <v>DieselDieselReciprocating Engine</v>
      </c>
      <c r="I20" s="2">
        <f>_xlfn.XLOOKUP(G20,Input!$E$4:$E$25,Input!$F$4:$F$25)</f>
        <v>9.5799999999999996E-2</v>
      </c>
      <c r="J20" s="3">
        <f>_xlfn.XLOOKUP(G20,Input!$E$4:$E$25,Input!$G$4:$G$25)</f>
        <v>150.19999999999999</v>
      </c>
      <c r="L20" s="31">
        <f t="shared" si="3"/>
        <v>7.0539288321904206E-4</v>
      </c>
      <c r="M20" s="32">
        <f t="shared" si="4"/>
        <v>6.6577896138482031E-3</v>
      </c>
      <c r="Q20">
        <v>6.3781600000000003E-4</v>
      </c>
      <c r="R20">
        <v>6.6577900000000002E-3</v>
      </c>
    </row>
    <row r="21" spans="1:18" x14ac:dyDescent="0.2">
      <c r="A21">
        <v>20</v>
      </c>
      <c r="B21" t="s">
        <v>53</v>
      </c>
      <c r="C21" t="s">
        <v>54</v>
      </c>
      <c r="D21" t="s">
        <v>45</v>
      </c>
      <c r="E21" t="s">
        <v>45</v>
      </c>
      <c r="F21" t="s">
        <v>46</v>
      </c>
      <c r="G21" s="5" t="str">
        <f t="shared" si="0"/>
        <v>DieselDieselReciprocating Engine</v>
      </c>
      <c r="I21" s="2">
        <f>_xlfn.XLOOKUP(G21,Input!$E$4:$E$25,Input!$F$4:$F$25)</f>
        <v>9.5799999999999996E-2</v>
      </c>
      <c r="J21" s="3">
        <f>_xlfn.XLOOKUP(G21,Input!$E$4:$E$25,Input!$G$4:$G$25)</f>
        <v>150.19999999999999</v>
      </c>
      <c r="L21" s="31">
        <f t="shared" si="3"/>
        <v>7.0539288321904206E-4</v>
      </c>
      <c r="M21" s="32">
        <f t="shared" si="4"/>
        <v>6.6577896138482031E-3</v>
      </c>
      <c r="Q21">
        <v>6.3781600000000003E-4</v>
      </c>
      <c r="R21">
        <v>6.6577900000000002E-3</v>
      </c>
    </row>
    <row r="22" spans="1:18" x14ac:dyDescent="0.2">
      <c r="A22">
        <v>21</v>
      </c>
      <c r="B22" t="s">
        <v>55</v>
      </c>
      <c r="C22" t="s">
        <v>56</v>
      </c>
      <c r="D22" t="s">
        <v>45</v>
      </c>
      <c r="E22" t="s">
        <v>45</v>
      </c>
      <c r="F22" t="s">
        <v>46</v>
      </c>
      <c r="G22" s="5" t="str">
        <f t="shared" si="0"/>
        <v>DieselDieselReciprocating Engine</v>
      </c>
      <c r="I22" s="2">
        <f>_xlfn.XLOOKUP(G22,Input!$E$4:$E$25,Input!$F$4:$F$25)</f>
        <v>9.5799999999999996E-2</v>
      </c>
      <c r="J22" s="3">
        <f>_xlfn.XLOOKUP(G22,Input!$E$4:$E$25,Input!$G$4:$G$25)</f>
        <v>150.19999999999999</v>
      </c>
      <c r="L22" s="31">
        <f t="shared" si="3"/>
        <v>7.0539288321904206E-4</v>
      </c>
      <c r="M22" s="32">
        <f t="shared" si="4"/>
        <v>6.6577896138482031E-3</v>
      </c>
      <c r="Q22">
        <v>6.3781600000000003E-4</v>
      </c>
      <c r="R22">
        <v>6.6577900000000002E-3</v>
      </c>
    </row>
    <row r="23" spans="1:18" x14ac:dyDescent="0.2">
      <c r="A23">
        <v>22</v>
      </c>
      <c r="B23" t="s">
        <v>57</v>
      </c>
      <c r="C23" t="s">
        <v>58</v>
      </c>
      <c r="D23" t="s">
        <v>45</v>
      </c>
      <c r="E23" t="s">
        <v>45</v>
      </c>
      <c r="F23" t="s">
        <v>46</v>
      </c>
      <c r="G23" s="5" t="str">
        <f t="shared" si="0"/>
        <v>DieselDieselReciprocating Engine</v>
      </c>
      <c r="I23" s="2">
        <f>_xlfn.XLOOKUP(G23,Input!$E$4:$E$25,Input!$F$4:$F$25)</f>
        <v>9.5799999999999996E-2</v>
      </c>
      <c r="J23" s="3">
        <f>_xlfn.XLOOKUP(G23,Input!$E$4:$E$25,Input!$G$4:$G$25)</f>
        <v>150.19999999999999</v>
      </c>
      <c r="L23" s="31">
        <f t="shared" si="3"/>
        <v>7.0539288321904206E-4</v>
      </c>
      <c r="M23" s="32">
        <f t="shared" si="4"/>
        <v>6.6577896138482031E-3</v>
      </c>
      <c r="Q23">
        <v>6.3781600000000003E-4</v>
      </c>
      <c r="R23">
        <v>6.6577900000000002E-3</v>
      </c>
    </row>
    <row r="24" spans="1:18" x14ac:dyDescent="0.2">
      <c r="A24">
        <v>23</v>
      </c>
      <c r="B24" t="s">
        <v>59</v>
      </c>
      <c r="C24" t="s">
        <v>60</v>
      </c>
      <c r="D24" t="s">
        <v>61</v>
      </c>
      <c r="E24" t="s">
        <v>62</v>
      </c>
      <c r="F24" t="s">
        <v>63</v>
      </c>
      <c r="G24" s="5" t="str">
        <f t="shared" si="0"/>
        <v>HydroRun-of-RiverVertical Francis</v>
      </c>
      <c r="I24" s="2">
        <f>_xlfn.XLOOKUP(G24,Input!$E$4:$E$25,Input!$F$4:$F$25)</f>
        <v>5.11E-2</v>
      </c>
      <c r="J24" s="3">
        <f>_xlfn.XLOOKUP(G24,Input!$E$4:$E$25,Input!$G$4:$G$25)</f>
        <v>38.1</v>
      </c>
      <c r="L24" s="31">
        <f t="shared" ref="L24:L53" si="5">I24/(J24*(1-I24))</f>
        <v>1.4134338171370691E-3</v>
      </c>
      <c r="M24" s="32">
        <f t="shared" ref="M24:M53" si="6">1/J24</f>
        <v>2.6246719160104987E-2</v>
      </c>
      <c r="Q24">
        <v>1.3412070000000001E-3</v>
      </c>
      <c r="R24">
        <v>2.6246719000000002E-2</v>
      </c>
    </row>
    <row r="25" spans="1:18" x14ac:dyDescent="0.2">
      <c r="A25">
        <v>24</v>
      </c>
      <c r="B25" t="s">
        <v>64</v>
      </c>
      <c r="C25" t="s">
        <v>65</v>
      </c>
      <c r="D25" t="s">
        <v>61</v>
      </c>
      <c r="E25" t="s">
        <v>66</v>
      </c>
      <c r="F25" t="s">
        <v>67</v>
      </c>
      <c r="G25" s="5" t="str">
        <f t="shared" si="0"/>
        <v>HydroReservoirFrancis</v>
      </c>
      <c r="I25" s="2">
        <f>_xlfn.XLOOKUP(G25,Input!$E$4:$E$25,Input!$F$4:$F$25)</f>
        <v>5.11E-2</v>
      </c>
      <c r="J25" s="3">
        <f>_xlfn.XLOOKUP(G25,Input!$E$4:$E$25,Input!$G$4:$G$25)</f>
        <v>38.1</v>
      </c>
      <c r="L25" s="31">
        <f t="shared" si="5"/>
        <v>1.4134338171370691E-3</v>
      </c>
      <c r="M25" s="32">
        <f t="shared" si="6"/>
        <v>2.6246719160104987E-2</v>
      </c>
      <c r="Q25">
        <v>1.3412070000000001E-3</v>
      </c>
      <c r="R25">
        <v>2.6246719000000002E-2</v>
      </c>
    </row>
    <row r="26" spans="1:18" x14ac:dyDescent="0.2">
      <c r="A26">
        <v>25</v>
      </c>
      <c r="B26" t="s">
        <v>68</v>
      </c>
      <c r="C26" t="s">
        <v>69</v>
      </c>
      <c r="D26" t="s">
        <v>61</v>
      </c>
      <c r="E26" t="s">
        <v>66</v>
      </c>
      <c r="F26" t="s">
        <v>67</v>
      </c>
      <c r="G26" s="5" t="str">
        <f t="shared" si="0"/>
        <v>HydroReservoirFrancis</v>
      </c>
      <c r="I26" s="2">
        <f>_xlfn.XLOOKUP(G26,Input!$E$4:$E$25,Input!$F$4:$F$25)</f>
        <v>5.11E-2</v>
      </c>
      <c r="J26" s="3">
        <f>_xlfn.XLOOKUP(G26,Input!$E$4:$E$25,Input!$G$4:$G$25)</f>
        <v>38.1</v>
      </c>
      <c r="L26" s="31">
        <f t="shared" si="5"/>
        <v>1.4134338171370691E-3</v>
      </c>
      <c r="M26" s="32">
        <f t="shared" si="6"/>
        <v>2.6246719160104987E-2</v>
      </c>
      <c r="Q26">
        <v>1.3412070000000001E-3</v>
      </c>
      <c r="R26">
        <v>2.6246719000000002E-2</v>
      </c>
    </row>
    <row r="27" spans="1:18" x14ac:dyDescent="0.2">
      <c r="A27">
        <v>26</v>
      </c>
      <c r="B27" t="s">
        <v>70</v>
      </c>
      <c r="C27" t="s">
        <v>71</v>
      </c>
      <c r="D27" t="s">
        <v>61</v>
      </c>
      <c r="E27" t="s">
        <v>62</v>
      </c>
      <c r="F27" t="s">
        <v>72</v>
      </c>
      <c r="G27" s="5" t="str">
        <f t="shared" si="0"/>
        <v>HydroRun-of-RiverFrancis / Pelton</v>
      </c>
      <c r="I27" s="2">
        <f>_xlfn.XLOOKUP(G27,Input!$E$4:$E$25,Input!$F$4:$F$25)</f>
        <v>5.11E-2</v>
      </c>
      <c r="J27" s="3">
        <f>_xlfn.XLOOKUP(G27,Input!$E$4:$E$25,Input!$G$4:$G$25)</f>
        <v>38.1</v>
      </c>
      <c r="L27" s="31">
        <f t="shared" si="5"/>
        <v>1.4134338171370691E-3</v>
      </c>
      <c r="M27" s="32">
        <f t="shared" si="6"/>
        <v>2.6246719160104987E-2</v>
      </c>
      <c r="Q27">
        <v>1.3412070000000001E-3</v>
      </c>
      <c r="R27">
        <v>2.6246719000000002E-2</v>
      </c>
    </row>
    <row r="28" spans="1:18" x14ac:dyDescent="0.2">
      <c r="A28">
        <v>27</v>
      </c>
      <c r="B28" t="s">
        <v>73</v>
      </c>
      <c r="C28" t="s">
        <v>74</v>
      </c>
      <c r="D28" t="s">
        <v>61</v>
      </c>
      <c r="E28" t="s">
        <v>66</v>
      </c>
      <c r="F28" t="s">
        <v>67</v>
      </c>
      <c r="G28" s="5" t="str">
        <f t="shared" si="0"/>
        <v>HydroReservoirFrancis</v>
      </c>
      <c r="I28" s="2">
        <f>_xlfn.XLOOKUP(G28,Input!$E$4:$E$25,Input!$F$4:$F$25)</f>
        <v>5.11E-2</v>
      </c>
      <c r="J28" s="3">
        <f>_xlfn.XLOOKUP(G28,Input!$E$4:$E$25,Input!$G$4:$G$25)</f>
        <v>38.1</v>
      </c>
      <c r="L28" s="31">
        <f t="shared" si="5"/>
        <v>1.4134338171370691E-3</v>
      </c>
      <c r="M28" s="32">
        <f t="shared" si="6"/>
        <v>2.6246719160104987E-2</v>
      </c>
      <c r="Q28">
        <v>1.3412070000000001E-3</v>
      </c>
      <c r="R28">
        <v>2.6246719000000002E-2</v>
      </c>
    </row>
    <row r="29" spans="1:18" x14ac:dyDescent="0.2">
      <c r="A29">
        <v>28</v>
      </c>
      <c r="B29" t="s">
        <v>75</v>
      </c>
      <c r="C29" t="s">
        <v>76</v>
      </c>
      <c r="D29" t="s">
        <v>61</v>
      </c>
      <c r="E29" t="s">
        <v>66</v>
      </c>
      <c r="F29" t="s">
        <v>67</v>
      </c>
      <c r="G29" s="5" t="str">
        <f t="shared" si="0"/>
        <v>HydroReservoirFrancis</v>
      </c>
      <c r="I29" s="2">
        <f>_xlfn.XLOOKUP(G29,Input!$E$4:$E$25,Input!$F$4:$F$25)</f>
        <v>5.11E-2</v>
      </c>
      <c r="J29" s="3">
        <f>_xlfn.XLOOKUP(G29,Input!$E$4:$E$25,Input!$G$4:$G$25)</f>
        <v>38.1</v>
      </c>
      <c r="L29" s="31">
        <f t="shared" si="5"/>
        <v>1.4134338171370691E-3</v>
      </c>
      <c r="M29" s="32">
        <f t="shared" si="6"/>
        <v>2.6246719160104987E-2</v>
      </c>
      <c r="Q29">
        <v>1.3412070000000001E-3</v>
      </c>
      <c r="R29">
        <v>2.6246719000000002E-2</v>
      </c>
    </row>
    <row r="30" spans="1:18" x14ac:dyDescent="0.2">
      <c r="A30">
        <v>29</v>
      </c>
      <c r="B30" t="s">
        <v>77</v>
      </c>
      <c r="C30" t="s">
        <v>78</v>
      </c>
      <c r="D30" t="s">
        <v>61</v>
      </c>
      <c r="E30" t="s">
        <v>66</v>
      </c>
      <c r="F30" t="s">
        <v>67</v>
      </c>
      <c r="G30" s="5" t="str">
        <f t="shared" si="0"/>
        <v>HydroReservoirFrancis</v>
      </c>
      <c r="I30" s="2">
        <f>_xlfn.XLOOKUP(G30,Input!$E$4:$E$25,Input!$F$4:$F$25)</f>
        <v>5.11E-2</v>
      </c>
      <c r="J30" s="3">
        <f>_xlfn.XLOOKUP(G30,Input!$E$4:$E$25,Input!$G$4:$G$25)</f>
        <v>38.1</v>
      </c>
      <c r="L30" s="31">
        <f t="shared" si="5"/>
        <v>1.4134338171370691E-3</v>
      </c>
      <c r="M30" s="32">
        <f t="shared" si="6"/>
        <v>2.6246719160104987E-2</v>
      </c>
      <c r="Q30">
        <v>1.3412070000000001E-3</v>
      </c>
      <c r="R30">
        <v>2.6246719000000002E-2</v>
      </c>
    </row>
    <row r="31" spans="1:18" x14ac:dyDescent="0.2">
      <c r="A31">
        <v>30</v>
      </c>
      <c r="B31" t="s">
        <v>79</v>
      </c>
      <c r="C31" t="s">
        <v>80</v>
      </c>
      <c r="D31" t="s">
        <v>61</v>
      </c>
      <c r="E31" t="s">
        <v>66</v>
      </c>
      <c r="F31" t="s">
        <v>67</v>
      </c>
      <c r="G31" s="5" t="str">
        <f t="shared" si="0"/>
        <v>HydroReservoirFrancis</v>
      </c>
      <c r="I31" s="2">
        <f>_xlfn.XLOOKUP(G31,Input!$E$4:$E$25,Input!$F$4:$F$25)</f>
        <v>5.11E-2</v>
      </c>
      <c r="J31" s="3">
        <f>_xlfn.XLOOKUP(G31,Input!$E$4:$E$25,Input!$G$4:$G$25)</f>
        <v>38.1</v>
      </c>
      <c r="L31" s="31">
        <f t="shared" si="5"/>
        <v>1.4134338171370691E-3</v>
      </c>
      <c r="M31" s="32">
        <f t="shared" si="6"/>
        <v>2.6246719160104987E-2</v>
      </c>
      <c r="Q31">
        <v>1.3412070000000001E-3</v>
      </c>
      <c r="R31">
        <v>2.6246719000000002E-2</v>
      </c>
    </row>
    <row r="32" spans="1:18" x14ac:dyDescent="0.2">
      <c r="A32">
        <v>31</v>
      </c>
      <c r="B32" t="s">
        <v>81</v>
      </c>
      <c r="C32" t="s">
        <v>82</v>
      </c>
      <c r="D32" t="s">
        <v>61</v>
      </c>
      <c r="E32" t="s">
        <v>66</v>
      </c>
      <c r="F32" t="s">
        <v>67</v>
      </c>
      <c r="G32" s="5" t="str">
        <f t="shared" si="0"/>
        <v>HydroReservoirFrancis</v>
      </c>
      <c r="I32" s="2">
        <f>_xlfn.XLOOKUP(G32,Input!$E$4:$E$25,Input!$F$4:$F$25)</f>
        <v>5.11E-2</v>
      </c>
      <c r="J32" s="3">
        <f>_xlfn.XLOOKUP(G32,Input!$E$4:$E$25,Input!$G$4:$G$25)</f>
        <v>38.1</v>
      </c>
      <c r="L32" s="31">
        <f t="shared" si="5"/>
        <v>1.4134338171370691E-3</v>
      </c>
      <c r="M32" s="32">
        <f t="shared" si="6"/>
        <v>2.6246719160104987E-2</v>
      </c>
      <c r="Q32">
        <v>1.3412070000000001E-3</v>
      </c>
      <c r="R32">
        <v>2.6246719000000002E-2</v>
      </c>
    </row>
    <row r="33" spans="1:18" x14ac:dyDescent="0.2">
      <c r="A33">
        <v>32</v>
      </c>
      <c r="B33" t="s">
        <v>83</v>
      </c>
      <c r="C33" t="s">
        <v>84</v>
      </c>
      <c r="D33" t="s">
        <v>61</v>
      </c>
      <c r="E33" t="s">
        <v>66</v>
      </c>
      <c r="F33" t="s">
        <v>85</v>
      </c>
      <c r="G33" s="5" t="str">
        <f t="shared" si="0"/>
        <v>HydroReservoirPelton</v>
      </c>
      <c r="I33" s="2">
        <f>_xlfn.XLOOKUP(G33,Input!$E$4:$E$25,Input!$F$4:$F$25)</f>
        <v>5.11E-2</v>
      </c>
      <c r="J33" s="3">
        <f>_xlfn.XLOOKUP(G33,Input!$E$4:$E$25,Input!$G$4:$G$25)</f>
        <v>38.1</v>
      </c>
      <c r="L33" s="31">
        <f t="shared" si="5"/>
        <v>1.4134338171370691E-3</v>
      </c>
      <c r="M33" s="32">
        <f t="shared" si="6"/>
        <v>2.6246719160104987E-2</v>
      </c>
      <c r="Q33">
        <v>1.3412070000000001E-3</v>
      </c>
      <c r="R33">
        <v>2.6246719000000002E-2</v>
      </c>
    </row>
    <row r="34" spans="1:18" x14ac:dyDescent="0.2">
      <c r="A34">
        <v>33</v>
      </c>
      <c r="B34" t="s">
        <v>86</v>
      </c>
      <c r="C34" t="s">
        <v>87</v>
      </c>
      <c r="D34" t="s">
        <v>61</v>
      </c>
      <c r="E34" t="s">
        <v>66</v>
      </c>
      <c r="F34" t="s">
        <v>67</v>
      </c>
      <c r="G34" s="5" t="str">
        <f t="shared" si="0"/>
        <v>HydroReservoirFrancis</v>
      </c>
      <c r="I34" s="2">
        <f>_xlfn.XLOOKUP(G34,Input!$E$4:$E$25,Input!$F$4:$F$25)</f>
        <v>5.11E-2</v>
      </c>
      <c r="J34" s="3">
        <f>_xlfn.XLOOKUP(G34,Input!$E$4:$E$25,Input!$G$4:$G$25)</f>
        <v>38.1</v>
      </c>
      <c r="L34" s="31">
        <f t="shared" si="5"/>
        <v>1.4134338171370691E-3</v>
      </c>
      <c r="M34" s="32">
        <f t="shared" si="6"/>
        <v>2.6246719160104987E-2</v>
      </c>
      <c r="Q34">
        <v>1.3412070000000001E-3</v>
      </c>
      <c r="R34">
        <v>2.6246719000000002E-2</v>
      </c>
    </row>
    <row r="35" spans="1:18" x14ac:dyDescent="0.2">
      <c r="A35">
        <v>34</v>
      </c>
      <c r="B35" t="s">
        <v>88</v>
      </c>
      <c r="C35" t="s">
        <v>89</v>
      </c>
      <c r="D35" t="s">
        <v>61</v>
      </c>
      <c r="E35" t="s">
        <v>66</v>
      </c>
      <c r="F35" t="s">
        <v>67</v>
      </c>
      <c r="G35" s="5" t="str">
        <f t="shared" si="0"/>
        <v>HydroReservoirFrancis</v>
      </c>
      <c r="I35" s="2">
        <f>_xlfn.XLOOKUP(G35,Input!$E$4:$E$25,Input!$F$4:$F$25)</f>
        <v>5.11E-2</v>
      </c>
      <c r="J35" s="3">
        <f>_xlfn.XLOOKUP(G35,Input!$E$4:$E$25,Input!$G$4:$G$25)</f>
        <v>38.1</v>
      </c>
      <c r="L35" s="31">
        <f t="shared" si="5"/>
        <v>1.4134338171370691E-3</v>
      </c>
      <c r="M35" s="32">
        <f t="shared" si="6"/>
        <v>2.6246719160104987E-2</v>
      </c>
      <c r="Q35">
        <v>1.3412070000000001E-3</v>
      </c>
      <c r="R35">
        <v>2.6246719000000002E-2</v>
      </c>
    </row>
    <row r="36" spans="1:18" x14ac:dyDescent="0.2">
      <c r="A36">
        <v>35</v>
      </c>
      <c r="B36" t="s">
        <v>90</v>
      </c>
      <c r="C36" t="s">
        <v>91</v>
      </c>
      <c r="D36" t="s">
        <v>61</v>
      </c>
      <c r="E36" t="s">
        <v>66</v>
      </c>
      <c r="F36" t="s">
        <v>92</v>
      </c>
      <c r="G36" s="5" t="str">
        <f t="shared" si="0"/>
        <v>HydroReservoirKaplan</v>
      </c>
      <c r="I36" s="2">
        <f>_xlfn.XLOOKUP(G36,Input!$E$4:$E$25,Input!$F$4:$F$25)</f>
        <v>5.11E-2</v>
      </c>
      <c r="J36" s="3">
        <f>_xlfn.XLOOKUP(G36,Input!$E$4:$E$25,Input!$G$4:$G$25)</f>
        <v>38.1</v>
      </c>
      <c r="L36" s="31">
        <f t="shared" si="5"/>
        <v>1.4134338171370691E-3</v>
      </c>
      <c r="M36" s="32">
        <f t="shared" si="6"/>
        <v>2.6246719160104987E-2</v>
      </c>
      <c r="Q36">
        <v>1.3412070000000001E-3</v>
      </c>
      <c r="R36">
        <v>2.6246719000000002E-2</v>
      </c>
    </row>
    <row r="37" spans="1:18" x14ac:dyDescent="0.2">
      <c r="A37">
        <v>36</v>
      </c>
      <c r="B37" t="s">
        <v>93</v>
      </c>
      <c r="C37" t="s">
        <v>94</v>
      </c>
      <c r="D37" t="s">
        <v>61</v>
      </c>
      <c r="E37" t="s">
        <v>66</v>
      </c>
      <c r="F37" t="s">
        <v>92</v>
      </c>
      <c r="G37" s="5" t="str">
        <f t="shared" si="0"/>
        <v>HydroReservoirKaplan</v>
      </c>
      <c r="I37" s="2">
        <f>_xlfn.XLOOKUP(G37,Input!$E$4:$E$25,Input!$F$4:$F$25)</f>
        <v>5.11E-2</v>
      </c>
      <c r="J37" s="3">
        <f>_xlfn.XLOOKUP(G37,Input!$E$4:$E$25,Input!$G$4:$G$25)</f>
        <v>38.1</v>
      </c>
      <c r="L37" s="31">
        <f t="shared" si="5"/>
        <v>1.4134338171370691E-3</v>
      </c>
      <c r="M37" s="32">
        <f t="shared" si="6"/>
        <v>2.6246719160104987E-2</v>
      </c>
      <c r="Q37">
        <v>1.3412070000000001E-3</v>
      </c>
      <c r="R37">
        <v>2.6246719000000002E-2</v>
      </c>
    </row>
    <row r="38" spans="1:18" x14ac:dyDescent="0.2">
      <c r="A38">
        <v>37</v>
      </c>
      <c r="B38" t="s">
        <v>95</v>
      </c>
      <c r="C38" t="s">
        <v>96</v>
      </c>
      <c r="D38" t="s">
        <v>61</v>
      </c>
      <c r="E38" t="s">
        <v>66</v>
      </c>
      <c r="F38" t="s">
        <v>67</v>
      </c>
      <c r="G38" s="5" t="str">
        <f t="shared" si="0"/>
        <v>HydroReservoirFrancis</v>
      </c>
      <c r="I38" s="2">
        <f>_xlfn.XLOOKUP(G38,Input!$E$4:$E$25,Input!$F$4:$F$25)</f>
        <v>5.11E-2</v>
      </c>
      <c r="J38" s="3">
        <f>_xlfn.XLOOKUP(G38,Input!$E$4:$E$25,Input!$G$4:$G$25)</f>
        <v>38.1</v>
      </c>
      <c r="L38" s="31">
        <f t="shared" si="5"/>
        <v>1.4134338171370691E-3</v>
      </c>
      <c r="M38" s="32">
        <f t="shared" si="6"/>
        <v>2.6246719160104987E-2</v>
      </c>
      <c r="Q38">
        <v>1.3412070000000001E-3</v>
      </c>
      <c r="R38">
        <v>2.6246719000000002E-2</v>
      </c>
    </row>
    <row r="39" spans="1:18" x14ac:dyDescent="0.2">
      <c r="A39">
        <v>38</v>
      </c>
      <c r="B39" t="s">
        <v>97</v>
      </c>
      <c r="C39" t="s">
        <v>98</v>
      </c>
      <c r="D39" t="s">
        <v>61</v>
      </c>
      <c r="E39" t="s">
        <v>62</v>
      </c>
      <c r="F39" t="s">
        <v>85</v>
      </c>
      <c r="G39" s="5" t="str">
        <f t="shared" si="0"/>
        <v>HydroRun-of-RiverPelton</v>
      </c>
      <c r="I39" s="2">
        <f>_xlfn.XLOOKUP(G39,Input!$E$4:$E$25,Input!$F$4:$F$25)</f>
        <v>5.11E-2</v>
      </c>
      <c r="J39" s="3">
        <f>_xlfn.XLOOKUP(G39,Input!$E$4:$E$25,Input!$G$4:$G$25)</f>
        <v>38.1</v>
      </c>
      <c r="L39" s="31">
        <f t="shared" si="5"/>
        <v>1.4134338171370691E-3</v>
      </c>
      <c r="M39" s="32">
        <f t="shared" si="6"/>
        <v>2.6246719160104987E-2</v>
      </c>
      <c r="Q39">
        <v>1.3412070000000001E-3</v>
      </c>
      <c r="R39">
        <v>2.6246719000000002E-2</v>
      </c>
    </row>
    <row r="40" spans="1:18" x14ac:dyDescent="0.2">
      <c r="A40">
        <v>39</v>
      </c>
      <c r="B40" t="s">
        <v>99</v>
      </c>
      <c r="C40" t="s">
        <v>100</v>
      </c>
      <c r="D40" t="s">
        <v>61</v>
      </c>
      <c r="E40" t="s">
        <v>66</v>
      </c>
      <c r="F40" t="s">
        <v>67</v>
      </c>
      <c r="G40" s="5" t="str">
        <f t="shared" si="0"/>
        <v>HydroReservoirFrancis</v>
      </c>
      <c r="I40" s="2">
        <f>_xlfn.XLOOKUP(G40,Input!$E$4:$E$25,Input!$F$4:$F$25)</f>
        <v>5.11E-2</v>
      </c>
      <c r="J40" s="3">
        <f>_xlfn.XLOOKUP(G40,Input!$E$4:$E$25,Input!$G$4:$G$25)</f>
        <v>38.1</v>
      </c>
      <c r="L40" s="31">
        <f t="shared" si="5"/>
        <v>1.4134338171370691E-3</v>
      </c>
      <c r="M40" s="32">
        <f t="shared" si="6"/>
        <v>2.6246719160104987E-2</v>
      </c>
      <c r="Q40">
        <v>1.3412070000000001E-3</v>
      </c>
      <c r="R40">
        <v>2.6246719000000002E-2</v>
      </c>
    </row>
    <row r="41" spans="1:18" x14ac:dyDescent="0.2">
      <c r="A41">
        <v>40</v>
      </c>
      <c r="B41" t="s">
        <v>101</v>
      </c>
      <c r="C41" t="s">
        <v>102</v>
      </c>
      <c r="D41" t="s">
        <v>61</v>
      </c>
      <c r="E41" t="s">
        <v>66</v>
      </c>
      <c r="F41" t="s">
        <v>67</v>
      </c>
      <c r="G41" s="5" t="str">
        <f t="shared" si="0"/>
        <v>HydroReservoirFrancis</v>
      </c>
      <c r="I41" s="2">
        <f>_xlfn.XLOOKUP(G41,Input!$E$4:$E$25,Input!$F$4:$F$25)</f>
        <v>5.11E-2</v>
      </c>
      <c r="J41" s="3">
        <f>_xlfn.XLOOKUP(G41,Input!$E$4:$E$25,Input!$G$4:$G$25)</f>
        <v>38.1</v>
      </c>
      <c r="L41" s="31">
        <f t="shared" si="5"/>
        <v>1.4134338171370691E-3</v>
      </c>
      <c r="M41" s="32">
        <f t="shared" si="6"/>
        <v>2.6246719160104987E-2</v>
      </c>
      <c r="Q41">
        <v>1.3412070000000001E-3</v>
      </c>
      <c r="R41">
        <v>2.6246719000000002E-2</v>
      </c>
    </row>
    <row r="42" spans="1:18" x14ac:dyDescent="0.2">
      <c r="A42">
        <v>41</v>
      </c>
      <c r="B42" t="s">
        <v>103</v>
      </c>
      <c r="C42" t="s">
        <v>104</v>
      </c>
      <c r="D42" t="s">
        <v>61</v>
      </c>
      <c r="E42" t="s">
        <v>66</v>
      </c>
      <c r="F42" t="s">
        <v>67</v>
      </c>
      <c r="G42" s="5" t="str">
        <f t="shared" si="0"/>
        <v>HydroReservoirFrancis</v>
      </c>
      <c r="I42" s="2">
        <f>_xlfn.XLOOKUP(G42,Input!$E$4:$E$25,Input!$F$4:$F$25)</f>
        <v>5.11E-2</v>
      </c>
      <c r="J42" s="3">
        <f>_xlfn.XLOOKUP(G42,Input!$E$4:$E$25,Input!$G$4:$G$25)</f>
        <v>38.1</v>
      </c>
      <c r="L42" s="31">
        <f t="shared" si="5"/>
        <v>1.4134338171370691E-3</v>
      </c>
      <c r="M42" s="32">
        <f t="shared" si="6"/>
        <v>2.6246719160104987E-2</v>
      </c>
      <c r="Q42">
        <v>1.3412070000000001E-3</v>
      </c>
      <c r="R42">
        <v>2.6246719000000002E-2</v>
      </c>
    </row>
    <row r="43" spans="1:18" x14ac:dyDescent="0.2">
      <c r="A43">
        <v>42</v>
      </c>
      <c r="B43" t="s">
        <v>105</v>
      </c>
      <c r="C43" t="s">
        <v>106</v>
      </c>
      <c r="D43" t="s">
        <v>61</v>
      </c>
      <c r="E43" t="s">
        <v>66</v>
      </c>
      <c r="F43" t="s">
        <v>67</v>
      </c>
      <c r="G43" s="5" t="str">
        <f t="shared" si="0"/>
        <v>HydroReservoirFrancis</v>
      </c>
      <c r="I43" s="2">
        <f>_xlfn.XLOOKUP(G43,Input!$E$4:$E$25,Input!$F$4:$F$25)</f>
        <v>5.11E-2</v>
      </c>
      <c r="J43" s="3">
        <f>_xlfn.XLOOKUP(G43,Input!$E$4:$E$25,Input!$G$4:$G$25)</f>
        <v>38.1</v>
      </c>
      <c r="L43" s="31">
        <f t="shared" si="5"/>
        <v>1.4134338171370691E-3</v>
      </c>
      <c r="M43" s="32">
        <f t="shared" si="6"/>
        <v>2.6246719160104987E-2</v>
      </c>
      <c r="Q43">
        <v>1.3412070000000001E-3</v>
      </c>
      <c r="R43">
        <v>2.6246719000000002E-2</v>
      </c>
    </row>
    <row r="44" spans="1:18" x14ac:dyDescent="0.2">
      <c r="A44">
        <v>43</v>
      </c>
      <c r="B44" t="s">
        <v>107</v>
      </c>
      <c r="C44" t="s">
        <v>108</v>
      </c>
      <c r="D44" t="s">
        <v>61</v>
      </c>
      <c r="E44" t="s">
        <v>66</v>
      </c>
      <c r="F44" t="s">
        <v>67</v>
      </c>
      <c r="G44" s="5" t="str">
        <f t="shared" si="0"/>
        <v>HydroReservoirFrancis</v>
      </c>
      <c r="I44" s="2">
        <f>_xlfn.XLOOKUP(G44,Input!$E$4:$E$25,Input!$F$4:$F$25)</f>
        <v>5.11E-2</v>
      </c>
      <c r="J44" s="3">
        <f>_xlfn.XLOOKUP(G44,Input!$E$4:$E$25,Input!$G$4:$G$25)</f>
        <v>38.1</v>
      </c>
      <c r="L44" s="31">
        <f t="shared" si="5"/>
        <v>1.4134338171370691E-3</v>
      </c>
      <c r="M44" s="32">
        <f t="shared" si="6"/>
        <v>2.6246719160104987E-2</v>
      </c>
      <c r="Q44">
        <v>1.3412070000000001E-3</v>
      </c>
      <c r="R44">
        <v>2.6246719000000002E-2</v>
      </c>
    </row>
    <row r="45" spans="1:18" x14ac:dyDescent="0.2">
      <c r="A45">
        <v>44</v>
      </c>
      <c r="B45" t="s">
        <v>109</v>
      </c>
      <c r="C45" t="s">
        <v>110</v>
      </c>
      <c r="D45" t="s">
        <v>61</v>
      </c>
      <c r="E45" t="s">
        <v>66</v>
      </c>
      <c r="F45" t="s">
        <v>67</v>
      </c>
      <c r="G45" s="5" t="str">
        <f t="shared" si="0"/>
        <v>HydroReservoirFrancis</v>
      </c>
      <c r="I45" s="2">
        <f>_xlfn.XLOOKUP(G45,Input!$E$4:$E$25,Input!$F$4:$F$25)</f>
        <v>5.11E-2</v>
      </c>
      <c r="J45" s="3">
        <f>_xlfn.XLOOKUP(G45,Input!$E$4:$E$25,Input!$G$4:$G$25)</f>
        <v>38.1</v>
      </c>
      <c r="L45" s="31">
        <f t="shared" si="5"/>
        <v>1.4134338171370691E-3</v>
      </c>
      <c r="M45" s="32">
        <f t="shared" si="6"/>
        <v>2.6246719160104987E-2</v>
      </c>
      <c r="Q45">
        <v>1.3412070000000001E-3</v>
      </c>
      <c r="R45">
        <v>2.6246719000000002E-2</v>
      </c>
    </row>
    <row r="46" spans="1:18" x14ac:dyDescent="0.2">
      <c r="A46">
        <v>45</v>
      </c>
      <c r="B46" t="s">
        <v>111</v>
      </c>
      <c r="C46" t="s">
        <v>112</v>
      </c>
      <c r="D46" t="s">
        <v>61</v>
      </c>
      <c r="E46" t="s">
        <v>66</v>
      </c>
      <c r="F46" t="s">
        <v>113</v>
      </c>
      <c r="G46" s="5" t="str">
        <f t="shared" si="0"/>
        <v>HydroReservoirNozzle-spear Pelton</v>
      </c>
      <c r="I46" s="2">
        <f>_xlfn.XLOOKUP(G46,Input!$E$4:$E$25,Input!$F$4:$F$25)</f>
        <v>5.11E-2</v>
      </c>
      <c r="J46" s="3">
        <f>_xlfn.XLOOKUP(G46,Input!$E$4:$E$25,Input!$G$4:$G$25)</f>
        <v>38.1</v>
      </c>
      <c r="L46" s="31">
        <f t="shared" si="5"/>
        <v>1.4134338171370691E-3</v>
      </c>
      <c r="M46" s="32">
        <f t="shared" si="6"/>
        <v>2.6246719160104987E-2</v>
      </c>
      <c r="Q46">
        <v>1.3412070000000001E-3</v>
      </c>
      <c r="R46">
        <v>2.6246719000000002E-2</v>
      </c>
    </row>
    <row r="47" spans="1:18" x14ac:dyDescent="0.2">
      <c r="A47">
        <v>46</v>
      </c>
      <c r="B47" t="s">
        <v>114</v>
      </c>
      <c r="C47" t="s">
        <v>115</v>
      </c>
      <c r="D47" t="s">
        <v>61</v>
      </c>
      <c r="E47" t="s">
        <v>66</v>
      </c>
      <c r="F47" t="s">
        <v>67</v>
      </c>
      <c r="G47" s="5" t="str">
        <f t="shared" si="0"/>
        <v>HydroReservoirFrancis</v>
      </c>
      <c r="I47" s="2">
        <f>_xlfn.XLOOKUP(G47,Input!$E$4:$E$25,Input!$F$4:$F$25)</f>
        <v>5.11E-2</v>
      </c>
      <c r="J47" s="3">
        <f>_xlfn.XLOOKUP(G47,Input!$E$4:$E$25,Input!$G$4:$G$25)</f>
        <v>38.1</v>
      </c>
      <c r="L47" s="31">
        <f t="shared" si="5"/>
        <v>1.4134338171370691E-3</v>
      </c>
      <c r="M47" s="32">
        <f t="shared" si="6"/>
        <v>2.6246719160104987E-2</v>
      </c>
      <c r="Q47">
        <v>1.3412070000000001E-3</v>
      </c>
      <c r="R47">
        <v>2.6246719000000002E-2</v>
      </c>
    </row>
    <row r="48" spans="1:18" x14ac:dyDescent="0.2">
      <c r="A48">
        <v>47</v>
      </c>
      <c r="B48" t="s">
        <v>116</v>
      </c>
      <c r="C48" t="s">
        <v>117</v>
      </c>
      <c r="D48" t="s">
        <v>61</v>
      </c>
      <c r="E48" t="s">
        <v>66</v>
      </c>
      <c r="F48" t="s">
        <v>85</v>
      </c>
      <c r="G48" s="5" t="str">
        <f t="shared" si="0"/>
        <v>HydroReservoirPelton</v>
      </c>
      <c r="I48" s="2">
        <f>_xlfn.XLOOKUP(G48,Input!$E$4:$E$25,Input!$F$4:$F$25)</f>
        <v>5.11E-2</v>
      </c>
      <c r="J48" s="3">
        <f>_xlfn.XLOOKUP(G48,Input!$E$4:$E$25,Input!$G$4:$G$25)</f>
        <v>38.1</v>
      </c>
      <c r="L48" s="31">
        <f t="shared" si="5"/>
        <v>1.4134338171370691E-3</v>
      </c>
      <c r="M48" s="32">
        <f t="shared" si="6"/>
        <v>2.6246719160104987E-2</v>
      </c>
      <c r="Q48">
        <v>1.3412070000000001E-3</v>
      </c>
      <c r="R48">
        <v>2.6246719000000002E-2</v>
      </c>
    </row>
    <row r="49" spans="1:18" x14ac:dyDescent="0.2">
      <c r="A49">
        <v>48</v>
      </c>
      <c r="B49" t="s">
        <v>118</v>
      </c>
      <c r="C49" t="s">
        <v>119</v>
      </c>
      <c r="D49" t="s">
        <v>61</v>
      </c>
      <c r="E49" t="s">
        <v>66</v>
      </c>
      <c r="F49" t="s">
        <v>67</v>
      </c>
      <c r="G49" s="5" t="str">
        <f t="shared" si="0"/>
        <v>HydroReservoirFrancis</v>
      </c>
      <c r="I49" s="2">
        <f>_xlfn.XLOOKUP(G49,Input!$E$4:$E$25,Input!$F$4:$F$25)</f>
        <v>5.11E-2</v>
      </c>
      <c r="J49" s="3">
        <f>_xlfn.XLOOKUP(G49,Input!$E$4:$E$25,Input!$G$4:$G$25)</f>
        <v>38.1</v>
      </c>
      <c r="L49" s="31">
        <f t="shared" si="5"/>
        <v>1.4134338171370691E-3</v>
      </c>
      <c r="M49" s="32">
        <f t="shared" si="6"/>
        <v>2.6246719160104987E-2</v>
      </c>
      <c r="Q49">
        <v>1.3412070000000001E-3</v>
      </c>
      <c r="R49">
        <v>2.6246719000000002E-2</v>
      </c>
    </row>
    <row r="50" spans="1:18" x14ac:dyDescent="0.2">
      <c r="A50">
        <v>49</v>
      </c>
      <c r="B50" t="s">
        <v>120</v>
      </c>
      <c r="C50" t="s">
        <v>121</v>
      </c>
      <c r="D50" t="s">
        <v>61</v>
      </c>
      <c r="E50" t="s">
        <v>66</v>
      </c>
      <c r="F50" t="s">
        <v>67</v>
      </c>
      <c r="G50" s="5" t="str">
        <f t="shared" si="0"/>
        <v>HydroReservoirFrancis</v>
      </c>
      <c r="I50" s="2">
        <f>_xlfn.XLOOKUP(G50,Input!$E$4:$E$25,Input!$F$4:$F$25)</f>
        <v>5.11E-2</v>
      </c>
      <c r="J50" s="3">
        <f>_xlfn.XLOOKUP(G50,Input!$E$4:$E$25,Input!$G$4:$G$25)</f>
        <v>38.1</v>
      </c>
      <c r="L50" s="31">
        <f t="shared" si="5"/>
        <v>1.4134338171370691E-3</v>
      </c>
      <c r="M50" s="32">
        <f t="shared" si="6"/>
        <v>2.6246719160104987E-2</v>
      </c>
      <c r="Q50">
        <v>1.3412070000000001E-3</v>
      </c>
      <c r="R50">
        <v>2.6246719000000002E-2</v>
      </c>
    </row>
    <row r="51" spans="1:18" x14ac:dyDescent="0.2">
      <c r="A51">
        <v>50</v>
      </c>
      <c r="B51" t="s">
        <v>122</v>
      </c>
      <c r="C51" t="s">
        <v>123</v>
      </c>
      <c r="D51" t="s">
        <v>61</v>
      </c>
      <c r="E51" t="s">
        <v>66</v>
      </c>
      <c r="F51" t="s">
        <v>67</v>
      </c>
      <c r="G51" s="5" t="str">
        <f t="shared" si="0"/>
        <v>HydroReservoirFrancis</v>
      </c>
      <c r="I51" s="2">
        <f>_xlfn.XLOOKUP(G51,Input!$E$4:$E$25,Input!$F$4:$F$25)</f>
        <v>5.11E-2</v>
      </c>
      <c r="J51" s="3">
        <f>_xlfn.XLOOKUP(G51,Input!$E$4:$E$25,Input!$G$4:$G$25)</f>
        <v>38.1</v>
      </c>
      <c r="L51" s="31">
        <f t="shared" si="5"/>
        <v>1.4134338171370691E-3</v>
      </c>
      <c r="M51" s="32">
        <f t="shared" si="6"/>
        <v>2.6246719160104987E-2</v>
      </c>
      <c r="Q51">
        <v>1.3412070000000001E-3</v>
      </c>
      <c r="R51">
        <v>2.6246719000000002E-2</v>
      </c>
    </row>
    <row r="52" spans="1:18" x14ac:dyDescent="0.2">
      <c r="A52">
        <v>51</v>
      </c>
      <c r="B52" t="s">
        <v>124</v>
      </c>
      <c r="C52" t="s">
        <v>125</v>
      </c>
      <c r="D52" t="s">
        <v>61</v>
      </c>
      <c r="E52" t="s">
        <v>66</v>
      </c>
      <c r="F52" t="s">
        <v>67</v>
      </c>
      <c r="G52" s="5" t="str">
        <f t="shared" si="0"/>
        <v>HydroReservoirFrancis</v>
      </c>
      <c r="I52" s="2">
        <f>_xlfn.XLOOKUP(G52,Input!$E$4:$E$25,Input!$F$4:$F$25)</f>
        <v>5.11E-2</v>
      </c>
      <c r="J52" s="3">
        <f>_xlfn.XLOOKUP(G52,Input!$E$4:$E$25,Input!$G$4:$G$25)</f>
        <v>38.1</v>
      </c>
      <c r="L52" s="31">
        <f t="shared" si="5"/>
        <v>1.4134338171370691E-3</v>
      </c>
      <c r="M52" s="32">
        <f t="shared" si="6"/>
        <v>2.6246719160104987E-2</v>
      </c>
      <c r="Q52">
        <v>1.3412070000000001E-3</v>
      </c>
      <c r="R52">
        <v>2.6246719000000002E-2</v>
      </c>
    </row>
    <row r="53" spans="1:18" x14ac:dyDescent="0.2">
      <c r="A53">
        <v>52</v>
      </c>
      <c r="B53" t="s">
        <v>126</v>
      </c>
      <c r="C53" t="s">
        <v>127</v>
      </c>
      <c r="D53" t="s">
        <v>61</v>
      </c>
      <c r="E53" t="s">
        <v>66</v>
      </c>
      <c r="F53" t="s">
        <v>67</v>
      </c>
      <c r="G53" s="5" t="str">
        <f t="shared" si="0"/>
        <v>HydroReservoirFrancis</v>
      </c>
      <c r="I53" s="2">
        <f>_xlfn.XLOOKUP(G53,Input!$E$4:$E$25,Input!$F$4:$F$25)</f>
        <v>5.11E-2</v>
      </c>
      <c r="J53" s="3">
        <f>_xlfn.XLOOKUP(G53,Input!$E$4:$E$25,Input!$G$4:$G$25)</f>
        <v>38.1</v>
      </c>
      <c r="L53" s="31">
        <f t="shared" si="5"/>
        <v>1.4134338171370691E-3</v>
      </c>
      <c r="M53" s="32">
        <f t="shared" si="6"/>
        <v>2.6246719160104987E-2</v>
      </c>
      <c r="Q53">
        <v>1.3412070000000001E-3</v>
      </c>
      <c r="R53">
        <v>2.6246719000000002E-2</v>
      </c>
    </row>
    <row r="54" spans="1:18" x14ac:dyDescent="0.2">
      <c r="A54">
        <v>53</v>
      </c>
      <c r="B54" t="s">
        <v>128</v>
      </c>
      <c r="C54" t="s">
        <v>128</v>
      </c>
      <c r="D54" t="s">
        <v>129</v>
      </c>
      <c r="E54" t="s">
        <v>130</v>
      </c>
      <c r="F54" t="s">
        <v>130</v>
      </c>
      <c r="G54" s="5" t="str">
        <f t="shared" si="0"/>
        <v>HydrogenHydrogen-based gas turbinesHydrogen-based gas turbines</v>
      </c>
      <c r="I54" s="2">
        <f>_xlfn.XLOOKUP(G54,Input!$E$4:$E$25,Input!$F$4:$F$25)</f>
        <v>2.0000000000000001E-4</v>
      </c>
      <c r="J54" s="3">
        <f>_xlfn.XLOOKUP(G54,Input!$E$4:$E$25,Input!$G$4:$G$25)</f>
        <v>22</v>
      </c>
      <c r="L54" s="31">
        <f t="shared" ref="L54" si="7">I54/(J54*(1-I54))</f>
        <v>9.0927276364363796E-6</v>
      </c>
      <c r="M54" s="32">
        <f t="shared" ref="M54" si="8">1/J54</f>
        <v>4.5454545454545456E-2</v>
      </c>
      <c r="Q54">
        <v>9.09091E-4</v>
      </c>
      <c r="R54">
        <v>4.5454544999999999E-2</v>
      </c>
    </row>
    <row r="55" spans="1:18" x14ac:dyDescent="0.2">
      <c r="A55">
        <v>54</v>
      </c>
      <c r="B55" t="s">
        <v>131</v>
      </c>
      <c r="C55" t="s">
        <v>131</v>
      </c>
      <c r="D55" t="s">
        <v>129</v>
      </c>
      <c r="E55" t="s">
        <v>130</v>
      </c>
      <c r="F55" t="s">
        <v>130</v>
      </c>
      <c r="G55" s="5" t="str">
        <f t="shared" si="0"/>
        <v>HydrogenHydrogen-based gas turbinesHydrogen-based gas turbines</v>
      </c>
      <c r="I55" s="2">
        <f>_xlfn.XLOOKUP(G55,Input!$E$4:$E$25,Input!$F$4:$F$25)</f>
        <v>2.0000000000000001E-4</v>
      </c>
      <c r="J55" s="3">
        <f>_xlfn.XLOOKUP(G55,Input!$E$4:$E$25,Input!$G$4:$G$25)</f>
        <v>22</v>
      </c>
      <c r="L55" s="31">
        <f t="shared" ref="L55" si="9">I55/(J55*(1-I55))</f>
        <v>9.0927276364363796E-6</v>
      </c>
      <c r="M55" s="32">
        <f t="shared" ref="M55" si="10">1/J55</f>
        <v>4.5454545454545456E-2</v>
      </c>
      <c r="Q55">
        <v>9.09091E-4</v>
      </c>
      <c r="R55">
        <v>4.5454544999999999E-2</v>
      </c>
    </row>
    <row r="56" spans="1:18" x14ac:dyDescent="0.2">
      <c r="A56">
        <v>55</v>
      </c>
      <c r="B56" t="s">
        <v>132</v>
      </c>
      <c r="C56" t="s">
        <v>133</v>
      </c>
      <c r="D56" t="s">
        <v>134</v>
      </c>
      <c r="E56" t="s">
        <v>135</v>
      </c>
      <c r="F56" t="s">
        <v>135</v>
      </c>
      <c r="G56" s="5" t="str">
        <f t="shared" si="0"/>
        <v>Natural GasOCGTOCGT</v>
      </c>
      <c r="I56" s="2">
        <f>_xlfn.XLOOKUP(G56,Input!$E$4:$E$25,Input!$F$4:$F$25)</f>
        <v>7.2099999999999997E-2</v>
      </c>
      <c r="J56" s="3">
        <f>_xlfn.XLOOKUP(G56,Input!$E$4:$E$25,Input!$G$4:$G$25)</f>
        <v>44.08</v>
      </c>
      <c r="L56" s="31">
        <f t="shared" ref="L56:L119" si="11">I56/(J56*(1-I56))</f>
        <v>1.7627572280869961E-3</v>
      </c>
      <c r="M56" s="32">
        <f t="shared" ref="M56:M119" si="12">1/J56</f>
        <v>2.2686025408348458E-2</v>
      </c>
      <c r="Q56">
        <v>1.635662E-3</v>
      </c>
      <c r="R56">
        <v>2.2686024999999999E-2</v>
      </c>
    </row>
    <row r="57" spans="1:18" x14ac:dyDescent="0.2">
      <c r="A57">
        <v>56</v>
      </c>
      <c r="B57" t="s">
        <v>136</v>
      </c>
      <c r="C57" t="s">
        <v>137</v>
      </c>
      <c r="D57" t="s">
        <v>134</v>
      </c>
      <c r="E57" t="s">
        <v>135</v>
      </c>
      <c r="F57" t="s">
        <v>135</v>
      </c>
      <c r="G57" s="5" t="str">
        <f t="shared" si="0"/>
        <v>Natural GasOCGTOCGT</v>
      </c>
      <c r="I57" s="2">
        <f>_xlfn.XLOOKUP(G57,Input!$E$4:$E$25,Input!$F$4:$F$25)</f>
        <v>7.2099999999999997E-2</v>
      </c>
      <c r="J57" s="3">
        <f>_xlfn.XLOOKUP(G57,Input!$E$4:$E$25,Input!$G$4:$G$25)</f>
        <v>44.08</v>
      </c>
      <c r="L57" s="31">
        <f t="shared" si="11"/>
        <v>1.7627572280869961E-3</v>
      </c>
      <c r="M57" s="32">
        <f t="shared" si="12"/>
        <v>2.2686025408348458E-2</v>
      </c>
      <c r="Q57">
        <v>1.635662E-3</v>
      </c>
      <c r="R57">
        <v>2.2686024999999999E-2</v>
      </c>
    </row>
    <row r="58" spans="1:18" x14ac:dyDescent="0.2">
      <c r="A58">
        <v>57</v>
      </c>
      <c r="B58" t="s">
        <v>138</v>
      </c>
      <c r="C58" t="s">
        <v>139</v>
      </c>
      <c r="D58" t="s">
        <v>134</v>
      </c>
      <c r="E58" t="s">
        <v>135</v>
      </c>
      <c r="F58" t="s">
        <v>135</v>
      </c>
      <c r="G58" s="5" t="str">
        <f t="shared" si="0"/>
        <v>Natural GasOCGTOCGT</v>
      </c>
      <c r="I58" s="2">
        <f>_xlfn.XLOOKUP(G58,Input!$E$4:$E$25,Input!$F$4:$F$25)</f>
        <v>7.2099999999999997E-2</v>
      </c>
      <c r="J58" s="3">
        <f>_xlfn.XLOOKUP(G58,Input!$E$4:$E$25,Input!$G$4:$G$25)</f>
        <v>44.08</v>
      </c>
      <c r="L58" s="31">
        <f t="shared" si="11"/>
        <v>1.7627572280869961E-3</v>
      </c>
      <c r="M58" s="32">
        <f t="shared" si="12"/>
        <v>2.2686025408348458E-2</v>
      </c>
      <c r="Q58">
        <v>1.635662E-3</v>
      </c>
      <c r="R58">
        <v>2.2686024999999999E-2</v>
      </c>
    </row>
    <row r="59" spans="1:18" x14ac:dyDescent="0.2">
      <c r="A59">
        <v>58</v>
      </c>
      <c r="B59" t="s">
        <v>140</v>
      </c>
      <c r="C59" t="s">
        <v>141</v>
      </c>
      <c r="D59" t="s">
        <v>134</v>
      </c>
      <c r="E59" t="s">
        <v>135</v>
      </c>
      <c r="F59" t="s">
        <v>135</v>
      </c>
      <c r="G59" s="5" t="str">
        <f t="shared" si="0"/>
        <v>Natural GasOCGTOCGT</v>
      </c>
      <c r="I59" s="2">
        <f>_xlfn.XLOOKUP(G59,Input!$E$4:$E$25,Input!$F$4:$F$25)</f>
        <v>7.2099999999999997E-2</v>
      </c>
      <c r="J59" s="3">
        <f>_xlfn.XLOOKUP(G59,Input!$E$4:$E$25,Input!$G$4:$G$25)</f>
        <v>44.08</v>
      </c>
      <c r="L59" s="31">
        <f t="shared" si="11"/>
        <v>1.7627572280869961E-3</v>
      </c>
      <c r="M59" s="32">
        <f t="shared" si="12"/>
        <v>2.2686025408348458E-2</v>
      </c>
      <c r="Q59">
        <v>1.635662E-3</v>
      </c>
      <c r="R59">
        <v>2.2686024999999999E-2</v>
      </c>
    </row>
    <row r="60" spans="1:18" x14ac:dyDescent="0.2">
      <c r="A60">
        <v>59</v>
      </c>
      <c r="B60" t="s">
        <v>142</v>
      </c>
      <c r="C60" t="s">
        <v>143</v>
      </c>
      <c r="D60" t="s">
        <v>134</v>
      </c>
      <c r="E60" t="s">
        <v>135</v>
      </c>
      <c r="F60" t="s">
        <v>135</v>
      </c>
      <c r="G60" s="5" t="str">
        <f t="shared" si="0"/>
        <v>Natural GasOCGTOCGT</v>
      </c>
      <c r="I60" s="2">
        <f>_xlfn.XLOOKUP(G60,Input!$E$4:$E$25,Input!$F$4:$F$25)</f>
        <v>7.2099999999999997E-2</v>
      </c>
      <c r="J60" s="3">
        <f>_xlfn.XLOOKUP(G60,Input!$E$4:$E$25,Input!$G$4:$G$25)</f>
        <v>44.08</v>
      </c>
      <c r="L60" s="31">
        <f t="shared" si="11"/>
        <v>1.7627572280869961E-3</v>
      </c>
      <c r="M60" s="32">
        <f t="shared" si="12"/>
        <v>2.2686025408348458E-2</v>
      </c>
      <c r="Q60">
        <v>1.635662E-3</v>
      </c>
      <c r="R60">
        <v>2.2686024999999999E-2</v>
      </c>
    </row>
    <row r="61" spans="1:18" x14ac:dyDescent="0.2">
      <c r="A61">
        <v>60</v>
      </c>
      <c r="B61" t="s">
        <v>144</v>
      </c>
      <c r="C61" t="s">
        <v>145</v>
      </c>
      <c r="D61" t="s">
        <v>134</v>
      </c>
      <c r="E61" t="s">
        <v>135</v>
      </c>
      <c r="F61" t="s">
        <v>135</v>
      </c>
      <c r="G61" s="5" t="str">
        <f t="shared" si="0"/>
        <v>Natural GasOCGTOCGT</v>
      </c>
      <c r="I61" s="2">
        <f>_xlfn.XLOOKUP(G61,Input!$E$4:$E$25,Input!$F$4:$F$25)</f>
        <v>7.2099999999999997E-2</v>
      </c>
      <c r="J61" s="3">
        <f>_xlfn.XLOOKUP(G61,Input!$E$4:$E$25,Input!$G$4:$G$25)</f>
        <v>44.08</v>
      </c>
      <c r="L61" s="31">
        <f t="shared" si="11"/>
        <v>1.7627572280869961E-3</v>
      </c>
      <c r="M61" s="32">
        <f t="shared" si="12"/>
        <v>2.2686025408348458E-2</v>
      </c>
      <c r="Q61">
        <v>1.635662E-3</v>
      </c>
      <c r="R61">
        <v>2.2686024999999999E-2</v>
      </c>
    </row>
    <row r="62" spans="1:18" x14ac:dyDescent="0.2">
      <c r="A62">
        <v>61</v>
      </c>
      <c r="B62" t="s">
        <v>146</v>
      </c>
      <c r="C62" t="s">
        <v>147</v>
      </c>
      <c r="D62" t="s">
        <v>134</v>
      </c>
      <c r="E62" t="s">
        <v>135</v>
      </c>
      <c r="F62" t="s">
        <v>135</v>
      </c>
      <c r="G62" s="5" t="str">
        <f t="shared" si="0"/>
        <v>Natural GasOCGTOCGT</v>
      </c>
      <c r="I62" s="2">
        <f>_xlfn.XLOOKUP(G62,Input!$E$4:$E$25,Input!$F$4:$F$25)</f>
        <v>7.2099999999999997E-2</v>
      </c>
      <c r="J62" s="3">
        <f>_xlfn.XLOOKUP(G62,Input!$E$4:$E$25,Input!$G$4:$G$25)</f>
        <v>44.08</v>
      </c>
      <c r="L62" s="31">
        <f t="shared" si="11"/>
        <v>1.7627572280869961E-3</v>
      </c>
      <c r="M62" s="32">
        <f t="shared" si="12"/>
        <v>2.2686025408348458E-2</v>
      </c>
      <c r="Q62">
        <v>1.635662E-3</v>
      </c>
      <c r="R62">
        <v>2.2686024999999999E-2</v>
      </c>
    </row>
    <row r="63" spans="1:18" x14ac:dyDescent="0.2">
      <c r="A63">
        <v>62</v>
      </c>
      <c r="B63" t="s">
        <v>148</v>
      </c>
      <c r="C63" t="s">
        <v>149</v>
      </c>
      <c r="D63" t="s">
        <v>134</v>
      </c>
      <c r="E63" t="s">
        <v>135</v>
      </c>
      <c r="F63" t="s">
        <v>135</v>
      </c>
      <c r="G63" s="5" t="str">
        <f t="shared" si="0"/>
        <v>Natural GasOCGTOCGT</v>
      </c>
      <c r="I63" s="2">
        <f>_xlfn.XLOOKUP(G63,Input!$E$4:$E$25,Input!$F$4:$F$25)</f>
        <v>7.2099999999999997E-2</v>
      </c>
      <c r="J63" s="3">
        <f>_xlfn.XLOOKUP(G63,Input!$E$4:$E$25,Input!$G$4:$G$25)</f>
        <v>44.08</v>
      </c>
      <c r="L63" s="31">
        <f t="shared" si="11"/>
        <v>1.7627572280869961E-3</v>
      </c>
      <c r="M63" s="32">
        <f t="shared" si="12"/>
        <v>2.2686025408348458E-2</v>
      </c>
      <c r="Q63">
        <v>1.635662E-3</v>
      </c>
      <c r="R63">
        <v>2.2686024999999999E-2</v>
      </c>
    </row>
    <row r="64" spans="1:18" x14ac:dyDescent="0.2">
      <c r="A64">
        <v>63</v>
      </c>
      <c r="B64" t="s">
        <v>150</v>
      </c>
      <c r="C64" t="s">
        <v>151</v>
      </c>
      <c r="D64" t="s">
        <v>134</v>
      </c>
      <c r="E64" t="s">
        <v>152</v>
      </c>
      <c r="F64" t="s">
        <v>152</v>
      </c>
      <c r="G64" s="5" t="str">
        <f t="shared" si="0"/>
        <v>Natural GasCCGTCCGT</v>
      </c>
      <c r="I64" s="2">
        <f>_xlfn.XLOOKUP(G64,Input!$E$4:$E$25,Input!$F$4:$F$25)</f>
        <v>5.04E-2</v>
      </c>
      <c r="J64" s="3">
        <f>_xlfn.XLOOKUP(G64,Input!$E$4:$E$25,Input!$G$4:$G$25)</f>
        <v>61.19</v>
      </c>
      <c r="L64" s="31">
        <f t="shared" si="11"/>
        <v>8.673799466988139E-4</v>
      </c>
      <c r="M64" s="32">
        <f t="shared" si="12"/>
        <v>1.6342539630658605E-2</v>
      </c>
      <c r="Q64">
        <v>8.2366399999999999E-4</v>
      </c>
      <c r="R64">
        <v>1.6342539999999999E-2</v>
      </c>
    </row>
    <row r="65" spans="1:18" x14ac:dyDescent="0.2">
      <c r="A65">
        <v>64</v>
      </c>
      <c r="B65" t="s">
        <v>153</v>
      </c>
      <c r="C65" t="s">
        <v>154</v>
      </c>
      <c r="D65" t="s">
        <v>134</v>
      </c>
      <c r="E65" t="s">
        <v>152</v>
      </c>
      <c r="F65" t="s">
        <v>152</v>
      </c>
      <c r="G65" s="5" t="str">
        <f t="shared" si="0"/>
        <v>Natural GasCCGTCCGT</v>
      </c>
      <c r="I65" s="2">
        <f>_xlfn.XLOOKUP(G65,Input!$E$4:$E$25,Input!$F$4:$F$25)</f>
        <v>5.04E-2</v>
      </c>
      <c r="J65" s="3">
        <f>_xlfn.XLOOKUP(G65,Input!$E$4:$E$25,Input!$G$4:$G$25)</f>
        <v>61.19</v>
      </c>
      <c r="L65" s="31">
        <f t="shared" si="11"/>
        <v>8.673799466988139E-4</v>
      </c>
      <c r="M65" s="32">
        <f t="shared" si="12"/>
        <v>1.6342539630658605E-2</v>
      </c>
      <c r="Q65">
        <v>8.2366399999999999E-4</v>
      </c>
      <c r="R65">
        <v>1.6342539999999999E-2</v>
      </c>
    </row>
    <row r="66" spans="1:18" x14ac:dyDescent="0.2">
      <c r="A66">
        <v>65</v>
      </c>
      <c r="B66" t="s">
        <v>155</v>
      </c>
      <c r="C66" t="s">
        <v>156</v>
      </c>
      <c r="D66" t="s">
        <v>134</v>
      </c>
      <c r="E66" t="s">
        <v>135</v>
      </c>
      <c r="F66" t="s">
        <v>135</v>
      </c>
      <c r="G66" s="5" t="str">
        <f t="shared" si="0"/>
        <v>Natural GasOCGTOCGT</v>
      </c>
      <c r="I66" s="2">
        <f>_xlfn.XLOOKUP(G66,Input!$E$4:$E$25,Input!$F$4:$F$25)</f>
        <v>7.2099999999999997E-2</v>
      </c>
      <c r="J66" s="3">
        <f>_xlfn.XLOOKUP(G66,Input!$E$4:$E$25,Input!$G$4:$G$25)</f>
        <v>44.08</v>
      </c>
      <c r="L66" s="31">
        <f t="shared" si="11"/>
        <v>1.7627572280869961E-3</v>
      </c>
      <c r="M66" s="32">
        <f t="shared" si="12"/>
        <v>2.2686025408348458E-2</v>
      </c>
      <c r="Q66">
        <v>1.635662E-3</v>
      </c>
      <c r="R66">
        <v>2.2686024999999999E-2</v>
      </c>
    </row>
    <row r="67" spans="1:18" x14ac:dyDescent="0.2">
      <c r="A67">
        <v>66</v>
      </c>
      <c r="B67" t="s">
        <v>157</v>
      </c>
      <c r="C67" t="s">
        <v>158</v>
      </c>
      <c r="D67" t="s">
        <v>134</v>
      </c>
      <c r="E67" t="s">
        <v>135</v>
      </c>
      <c r="F67" t="s">
        <v>159</v>
      </c>
      <c r="G67" s="5" t="str">
        <f t="shared" ref="G67:G124" si="13">_xlfn.CONCAT(D67,E67,F67)</f>
        <v>Natural GasOCGTGE Frame 5</v>
      </c>
      <c r="I67" s="2">
        <f>_xlfn.XLOOKUP(G67,Input!$E$4:$E$25,Input!$F$4:$F$25)</f>
        <v>7.2099999999999997E-2</v>
      </c>
      <c r="J67" s="3">
        <f>_xlfn.XLOOKUP(G67,Input!$E$4:$E$25,Input!$G$4:$G$25)</f>
        <v>44.08</v>
      </c>
      <c r="L67" s="31">
        <f t="shared" si="11"/>
        <v>1.7627572280869961E-3</v>
      </c>
      <c r="M67" s="32">
        <f t="shared" si="12"/>
        <v>2.2686025408348458E-2</v>
      </c>
      <c r="Q67">
        <v>1.635662E-3</v>
      </c>
      <c r="R67">
        <v>2.2686024999999999E-2</v>
      </c>
    </row>
    <row r="68" spans="1:18" x14ac:dyDescent="0.2">
      <c r="A68">
        <v>67</v>
      </c>
      <c r="B68" t="s">
        <v>160</v>
      </c>
      <c r="C68" t="s">
        <v>161</v>
      </c>
      <c r="D68" t="s">
        <v>134</v>
      </c>
      <c r="E68" t="s">
        <v>135</v>
      </c>
      <c r="F68" t="s">
        <v>135</v>
      </c>
      <c r="G68" s="5" t="str">
        <f t="shared" si="13"/>
        <v>Natural GasOCGTOCGT</v>
      </c>
      <c r="I68" s="2">
        <f>_xlfn.XLOOKUP(G68,Input!$E$4:$E$25,Input!$F$4:$F$25)</f>
        <v>7.2099999999999997E-2</v>
      </c>
      <c r="J68" s="3">
        <f>_xlfn.XLOOKUP(G68,Input!$E$4:$E$25,Input!$G$4:$G$25)</f>
        <v>44.08</v>
      </c>
      <c r="L68" s="31">
        <f t="shared" si="11"/>
        <v>1.7627572280869961E-3</v>
      </c>
      <c r="M68" s="32">
        <f t="shared" si="12"/>
        <v>2.2686025408348458E-2</v>
      </c>
      <c r="Q68">
        <v>1.635662E-3</v>
      </c>
      <c r="R68">
        <v>2.2686024999999999E-2</v>
      </c>
    </row>
    <row r="69" spans="1:18" x14ac:dyDescent="0.2">
      <c r="A69">
        <v>68</v>
      </c>
      <c r="B69" t="s">
        <v>162</v>
      </c>
      <c r="C69" t="s">
        <v>163</v>
      </c>
      <c r="D69" t="s">
        <v>134</v>
      </c>
      <c r="E69" t="s">
        <v>135</v>
      </c>
      <c r="F69" t="s">
        <v>135</v>
      </c>
      <c r="G69" s="5" t="str">
        <f t="shared" si="13"/>
        <v>Natural GasOCGTOCGT</v>
      </c>
      <c r="I69" s="2">
        <f>_xlfn.XLOOKUP(G69,Input!$E$4:$E$25,Input!$F$4:$F$25)</f>
        <v>7.2099999999999997E-2</v>
      </c>
      <c r="J69" s="3">
        <f>_xlfn.XLOOKUP(G69,Input!$E$4:$E$25,Input!$G$4:$G$25)</f>
        <v>44.08</v>
      </c>
      <c r="L69" s="31">
        <f t="shared" si="11"/>
        <v>1.7627572280869961E-3</v>
      </c>
      <c r="M69" s="32">
        <f t="shared" si="12"/>
        <v>2.2686025408348458E-2</v>
      </c>
      <c r="Q69">
        <v>1.635662E-3</v>
      </c>
      <c r="R69">
        <v>2.2686024999999999E-2</v>
      </c>
    </row>
    <row r="70" spans="1:18" x14ac:dyDescent="0.2">
      <c r="A70">
        <v>69</v>
      </c>
      <c r="B70" t="s">
        <v>164</v>
      </c>
      <c r="C70" t="s">
        <v>164</v>
      </c>
      <c r="D70" t="s">
        <v>134</v>
      </c>
      <c r="E70" t="s">
        <v>135</v>
      </c>
      <c r="F70" t="s">
        <v>135</v>
      </c>
      <c r="G70" s="5" t="str">
        <f t="shared" si="13"/>
        <v>Natural GasOCGTOCGT</v>
      </c>
      <c r="I70" s="2">
        <f>_xlfn.XLOOKUP(G70,Input!$E$4:$E$25,Input!$F$4:$F$25)</f>
        <v>7.2099999999999997E-2</v>
      </c>
      <c r="J70" s="3">
        <f>_xlfn.XLOOKUP(G70,Input!$E$4:$E$25,Input!$G$4:$G$25)</f>
        <v>44.08</v>
      </c>
      <c r="L70" s="31">
        <f t="shared" si="11"/>
        <v>1.7627572280869961E-3</v>
      </c>
      <c r="M70" s="32">
        <f t="shared" si="12"/>
        <v>2.2686025408348458E-2</v>
      </c>
      <c r="Q70">
        <v>9.09091E-4</v>
      </c>
      <c r="R70">
        <v>4.5454544999999999E-2</v>
      </c>
    </row>
    <row r="71" spans="1:18" x14ac:dyDescent="0.2">
      <c r="A71">
        <v>70</v>
      </c>
      <c r="B71" t="s">
        <v>165</v>
      </c>
      <c r="C71" t="s">
        <v>166</v>
      </c>
      <c r="D71" t="s">
        <v>134</v>
      </c>
      <c r="E71" t="s">
        <v>135</v>
      </c>
      <c r="F71" t="s">
        <v>135</v>
      </c>
      <c r="G71" s="5" t="str">
        <f t="shared" si="13"/>
        <v>Natural GasOCGTOCGT</v>
      </c>
      <c r="I71" s="2">
        <f>_xlfn.XLOOKUP(G71,Input!$E$4:$E$25,Input!$F$4:$F$25)</f>
        <v>7.2099999999999997E-2</v>
      </c>
      <c r="J71" s="3">
        <f>_xlfn.XLOOKUP(G71,Input!$E$4:$E$25,Input!$G$4:$G$25)</f>
        <v>44.08</v>
      </c>
      <c r="L71" s="31">
        <f t="shared" si="11"/>
        <v>1.7627572280869961E-3</v>
      </c>
      <c r="M71" s="32">
        <f t="shared" si="12"/>
        <v>2.2686025408348458E-2</v>
      </c>
      <c r="Q71">
        <v>1.635662E-3</v>
      </c>
      <c r="R71">
        <v>2.2686024999999999E-2</v>
      </c>
    </row>
    <row r="72" spans="1:18" x14ac:dyDescent="0.2">
      <c r="A72">
        <v>71</v>
      </c>
      <c r="B72" t="s">
        <v>167</v>
      </c>
      <c r="C72" t="s">
        <v>168</v>
      </c>
      <c r="D72" t="s">
        <v>134</v>
      </c>
      <c r="E72" t="s">
        <v>135</v>
      </c>
      <c r="F72" t="s">
        <v>135</v>
      </c>
      <c r="G72" s="5" t="str">
        <f t="shared" si="13"/>
        <v>Natural GasOCGTOCGT</v>
      </c>
      <c r="I72" s="2">
        <f>_xlfn.XLOOKUP(G72,Input!$E$4:$E$25,Input!$F$4:$F$25)</f>
        <v>7.2099999999999997E-2</v>
      </c>
      <c r="J72" s="3">
        <f>_xlfn.XLOOKUP(G72,Input!$E$4:$E$25,Input!$G$4:$G$25)</f>
        <v>44.08</v>
      </c>
      <c r="L72" s="31">
        <f t="shared" si="11"/>
        <v>1.7627572280869961E-3</v>
      </c>
      <c r="M72" s="32">
        <f t="shared" si="12"/>
        <v>2.2686025408348458E-2</v>
      </c>
      <c r="Q72">
        <v>1.635662E-3</v>
      </c>
      <c r="R72">
        <v>2.2686024999999999E-2</v>
      </c>
    </row>
    <row r="73" spans="1:18" x14ac:dyDescent="0.2">
      <c r="A73">
        <v>72</v>
      </c>
      <c r="B73" t="s">
        <v>169</v>
      </c>
      <c r="C73" t="s">
        <v>170</v>
      </c>
      <c r="D73" t="s">
        <v>134</v>
      </c>
      <c r="E73" t="s">
        <v>135</v>
      </c>
      <c r="F73" t="s">
        <v>135</v>
      </c>
      <c r="G73" s="5" t="str">
        <f t="shared" si="13"/>
        <v>Natural GasOCGTOCGT</v>
      </c>
      <c r="I73" s="2">
        <f>_xlfn.XLOOKUP(G73,Input!$E$4:$E$25,Input!$F$4:$F$25)</f>
        <v>7.2099999999999997E-2</v>
      </c>
      <c r="J73" s="3">
        <f>_xlfn.XLOOKUP(G73,Input!$E$4:$E$25,Input!$G$4:$G$25)</f>
        <v>44.08</v>
      </c>
      <c r="L73" s="31">
        <f t="shared" si="11"/>
        <v>1.7627572280869961E-3</v>
      </c>
      <c r="M73" s="32">
        <f t="shared" si="12"/>
        <v>2.2686025408348458E-2</v>
      </c>
      <c r="Q73">
        <v>1.635662E-3</v>
      </c>
      <c r="R73">
        <v>2.2686024999999999E-2</v>
      </c>
    </row>
    <row r="74" spans="1:18" x14ac:dyDescent="0.2">
      <c r="A74">
        <v>73</v>
      </c>
      <c r="B74" t="s">
        <v>171</v>
      </c>
      <c r="C74" t="s">
        <v>172</v>
      </c>
      <c r="D74" t="s">
        <v>134</v>
      </c>
      <c r="E74" t="s">
        <v>135</v>
      </c>
      <c r="F74" t="s">
        <v>135</v>
      </c>
      <c r="G74" s="5" t="str">
        <f t="shared" si="13"/>
        <v>Natural GasOCGTOCGT</v>
      </c>
      <c r="I74" s="2">
        <f>_xlfn.XLOOKUP(G74,Input!$E$4:$E$25,Input!$F$4:$F$25)</f>
        <v>7.2099999999999997E-2</v>
      </c>
      <c r="J74" s="3">
        <f>_xlfn.XLOOKUP(G74,Input!$E$4:$E$25,Input!$G$4:$G$25)</f>
        <v>44.08</v>
      </c>
      <c r="L74" s="31">
        <f t="shared" si="11"/>
        <v>1.7627572280869961E-3</v>
      </c>
      <c r="M74" s="32">
        <f t="shared" si="12"/>
        <v>2.2686025408348458E-2</v>
      </c>
      <c r="Q74">
        <v>1.635662E-3</v>
      </c>
      <c r="R74">
        <v>2.2686024999999999E-2</v>
      </c>
    </row>
    <row r="75" spans="1:18" x14ac:dyDescent="0.2">
      <c r="A75">
        <v>74</v>
      </c>
      <c r="B75" t="s">
        <v>173</v>
      </c>
      <c r="C75" t="s">
        <v>174</v>
      </c>
      <c r="D75" t="s">
        <v>134</v>
      </c>
      <c r="E75" t="s">
        <v>135</v>
      </c>
      <c r="F75" t="s">
        <v>175</v>
      </c>
      <c r="G75" s="5" t="str">
        <f t="shared" si="13"/>
        <v>Natural GasOCGTGas-powered steam turbine</v>
      </c>
      <c r="I75" s="2">
        <f>_xlfn.XLOOKUP(G75,Input!$E$4:$E$25,Input!$F$4:$F$25)</f>
        <v>5.04E-2</v>
      </c>
      <c r="J75" s="3">
        <f>_xlfn.XLOOKUP(G75,Input!$E$4:$E$25,Input!$G$4:$G$25)</f>
        <v>61.19</v>
      </c>
      <c r="L75" s="31">
        <f t="shared" si="11"/>
        <v>8.673799466988139E-4</v>
      </c>
      <c r="M75" s="32">
        <f t="shared" si="12"/>
        <v>1.6342539630658605E-2</v>
      </c>
      <c r="Q75">
        <v>1.635662E-3</v>
      </c>
      <c r="R75">
        <v>2.2686024999999999E-2</v>
      </c>
    </row>
    <row r="76" spans="1:18" x14ac:dyDescent="0.2">
      <c r="A76">
        <v>75</v>
      </c>
      <c r="B76" t="s">
        <v>176</v>
      </c>
      <c r="C76" t="s">
        <v>177</v>
      </c>
      <c r="D76" t="s">
        <v>134</v>
      </c>
      <c r="E76" t="s">
        <v>135</v>
      </c>
      <c r="F76" t="s">
        <v>135</v>
      </c>
      <c r="G76" s="5" t="str">
        <f t="shared" si="13"/>
        <v>Natural GasOCGTOCGT</v>
      </c>
      <c r="I76" s="2">
        <f>_xlfn.XLOOKUP(G76,Input!$E$4:$E$25,Input!$F$4:$F$25)</f>
        <v>7.2099999999999997E-2</v>
      </c>
      <c r="J76" s="3">
        <f>_xlfn.XLOOKUP(G76,Input!$E$4:$E$25,Input!$G$4:$G$25)</f>
        <v>44.08</v>
      </c>
      <c r="L76" s="31">
        <f t="shared" si="11"/>
        <v>1.7627572280869961E-3</v>
      </c>
      <c r="M76" s="32">
        <f t="shared" si="12"/>
        <v>2.2686025408348458E-2</v>
      </c>
      <c r="Q76">
        <v>1.635662E-3</v>
      </c>
      <c r="R76">
        <v>2.2686024999999999E-2</v>
      </c>
    </row>
    <row r="77" spans="1:18" x14ac:dyDescent="0.2">
      <c r="A77">
        <v>76</v>
      </c>
      <c r="B77" t="s">
        <v>178</v>
      </c>
      <c r="C77" t="s">
        <v>179</v>
      </c>
      <c r="D77" t="s">
        <v>134</v>
      </c>
      <c r="E77" t="s">
        <v>152</v>
      </c>
      <c r="F77" t="s">
        <v>152</v>
      </c>
      <c r="G77" s="5" t="str">
        <f t="shared" si="13"/>
        <v>Natural GasCCGTCCGT</v>
      </c>
      <c r="I77" s="2">
        <f>_xlfn.XLOOKUP(G77,Input!$E$4:$E$25,Input!$F$4:$F$25)</f>
        <v>5.04E-2</v>
      </c>
      <c r="J77" s="3">
        <f>_xlfn.XLOOKUP(G77,Input!$E$4:$E$25,Input!$G$4:$G$25)</f>
        <v>61.19</v>
      </c>
      <c r="L77" s="31">
        <f t="shared" si="11"/>
        <v>8.673799466988139E-4</v>
      </c>
      <c r="M77" s="32">
        <f t="shared" si="12"/>
        <v>1.6342539630658605E-2</v>
      </c>
      <c r="Q77">
        <v>8.2366399999999999E-4</v>
      </c>
      <c r="R77">
        <v>1.6342539999999999E-2</v>
      </c>
    </row>
    <row r="78" spans="1:18" x14ac:dyDescent="0.2">
      <c r="A78">
        <v>77</v>
      </c>
      <c r="B78" t="s">
        <v>180</v>
      </c>
      <c r="C78" t="s">
        <v>181</v>
      </c>
      <c r="D78" t="s">
        <v>134</v>
      </c>
      <c r="E78" t="s">
        <v>152</v>
      </c>
      <c r="F78" t="s">
        <v>152</v>
      </c>
      <c r="G78" s="5" t="str">
        <f t="shared" si="13"/>
        <v>Natural GasCCGTCCGT</v>
      </c>
      <c r="I78" s="2">
        <f>_xlfn.XLOOKUP(G78,Input!$E$4:$E$25,Input!$F$4:$F$25)</f>
        <v>5.04E-2</v>
      </c>
      <c r="J78" s="3">
        <f>_xlfn.XLOOKUP(G78,Input!$E$4:$E$25,Input!$G$4:$G$25)</f>
        <v>61.19</v>
      </c>
      <c r="L78" s="31">
        <f t="shared" si="11"/>
        <v>8.673799466988139E-4</v>
      </c>
      <c r="M78" s="32">
        <f t="shared" si="12"/>
        <v>1.6342539630658605E-2</v>
      </c>
      <c r="Q78">
        <v>8.2366399999999999E-4</v>
      </c>
      <c r="R78">
        <v>1.6342539999999999E-2</v>
      </c>
    </row>
    <row r="79" spans="1:18" x14ac:dyDescent="0.2">
      <c r="A79">
        <v>78</v>
      </c>
      <c r="B79" t="s">
        <v>182</v>
      </c>
      <c r="C79" t="s">
        <v>183</v>
      </c>
      <c r="D79" t="s">
        <v>134</v>
      </c>
      <c r="E79" t="s">
        <v>135</v>
      </c>
      <c r="F79" t="s">
        <v>135</v>
      </c>
      <c r="G79" s="5" t="str">
        <f t="shared" si="13"/>
        <v>Natural GasOCGTOCGT</v>
      </c>
      <c r="I79" s="2">
        <f>_xlfn.XLOOKUP(G79,Input!$E$4:$E$25,Input!$F$4:$F$25)</f>
        <v>7.2099999999999997E-2</v>
      </c>
      <c r="J79" s="3">
        <f>_xlfn.XLOOKUP(G79,Input!$E$4:$E$25,Input!$G$4:$G$25)</f>
        <v>44.08</v>
      </c>
      <c r="L79" s="31">
        <f t="shared" si="11"/>
        <v>1.7627572280869961E-3</v>
      </c>
      <c r="M79" s="32">
        <f t="shared" si="12"/>
        <v>2.2686025408348458E-2</v>
      </c>
      <c r="Q79">
        <v>1.635662E-3</v>
      </c>
      <c r="R79">
        <v>2.2686024999999999E-2</v>
      </c>
    </row>
    <row r="80" spans="1:18" x14ac:dyDescent="0.2">
      <c r="A80">
        <v>79</v>
      </c>
      <c r="B80" t="s">
        <v>184</v>
      </c>
      <c r="C80" t="s">
        <v>185</v>
      </c>
      <c r="D80" t="s">
        <v>134</v>
      </c>
      <c r="E80" t="s">
        <v>135</v>
      </c>
      <c r="F80" t="s">
        <v>135</v>
      </c>
      <c r="G80" s="5" t="str">
        <f t="shared" si="13"/>
        <v>Natural GasOCGTOCGT</v>
      </c>
      <c r="I80" s="2">
        <f>_xlfn.XLOOKUP(G80,Input!$E$4:$E$25,Input!$F$4:$F$25)</f>
        <v>7.2099999999999997E-2</v>
      </c>
      <c r="J80" s="3">
        <f>_xlfn.XLOOKUP(G80,Input!$E$4:$E$25,Input!$G$4:$G$25)</f>
        <v>44.08</v>
      </c>
      <c r="L80" s="31">
        <f t="shared" si="11"/>
        <v>1.7627572280869961E-3</v>
      </c>
      <c r="M80" s="32">
        <f t="shared" si="12"/>
        <v>2.2686025408348458E-2</v>
      </c>
      <c r="Q80">
        <v>1.635662E-3</v>
      </c>
      <c r="R80">
        <v>2.2686024999999999E-2</v>
      </c>
    </row>
    <row r="81" spans="1:18" x14ac:dyDescent="0.2">
      <c r="A81">
        <v>80</v>
      </c>
      <c r="B81" t="s">
        <v>186</v>
      </c>
      <c r="C81" t="s">
        <v>187</v>
      </c>
      <c r="D81" t="s">
        <v>134</v>
      </c>
      <c r="E81" t="s">
        <v>135</v>
      </c>
      <c r="F81" t="s">
        <v>135</v>
      </c>
      <c r="G81" s="5" t="str">
        <f t="shared" si="13"/>
        <v>Natural GasOCGTOCGT</v>
      </c>
      <c r="I81" s="2">
        <f>_xlfn.XLOOKUP(G81,Input!$E$4:$E$25,Input!$F$4:$F$25)</f>
        <v>7.2099999999999997E-2</v>
      </c>
      <c r="J81" s="3">
        <f>_xlfn.XLOOKUP(G81,Input!$E$4:$E$25,Input!$G$4:$G$25)</f>
        <v>44.08</v>
      </c>
      <c r="L81" s="31">
        <f t="shared" si="11"/>
        <v>1.7627572280869961E-3</v>
      </c>
      <c r="M81" s="32">
        <f t="shared" si="12"/>
        <v>2.2686025408348458E-2</v>
      </c>
      <c r="Q81">
        <v>1.635662E-3</v>
      </c>
      <c r="R81">
        <v>2.2686024999999999E-2</v>
      </c>
    </row>
    <row r="82" spans="1:18" x14ac:dyDescent="0.2">
      <c r="A82">
        <v>81</v>
      </c>
      <c r="B82" t="s">
        <v>188</v>
      </c>
      <c r="C82" t="s">
        <v>189</v>
      </c>
      <c r="D82" t="s">
        <v>134</v>
      </c>
      <c r="E82" t="s">
        <v>135</v>
      </c>
      <c r="F82" t="s">
        <v>190</v>
      </c>
      <c r="G82" s="5" t="str">
        <f t="shared" si="13"/>
        <v>Natural GasOCGTFrame 6B</v>
      </c>
      <c r="I82" s="2">
        <f>_xlfn.XLOOKUP(G82,Input!$E$4:$E$25,Input!$F$4:$F$25)</f>
        <v>7.2099999999999997E-2</v>
      </c>
      <c r="J82" s="3">
        <f>_xlfn.XLOOKUP(G82,Input!$E$4:$E$25,Input!$G$4:$G$25)</f>
        <v>44.08</v>
      </c>
      <c r="L82" s="31">
        <f t="shared" si="11"/>
        <v>1.7627572280869961E-3</v>
      </c>
      <c r="M82" s="32">
        <f t="shared" si="12"/>
        <v>2.2686025408348458E-2</v>
      </c>
      <c r="Q82">
        <v>1.635662E-3</v>
      </c>
      <c r="R82">
        <v>2.2686024999999999E-2</v>
      </c>
    </row>
    <row r="83" spans="1:18" x14ac:dyDescent="0.2">
      <c r="A83">
        <v>82</v>
      </c>
      <c r="B83" t="s">
        <v>191</v>
      </c>
      <c r="C83" t="s">
        <v>192</v>
      </c>
      <c r="D83" t="s">
        <v>134</v>
      </c>
      <c r="E83" t="s">
        <v>152</v>
      </c>
      <c r="F83" t="s">
        <v>152</v>
      </c>
      <c r="G83" s="5" t="str">
        <f t="shared" si="13"/>
        <v>Natural GasCCGTCCGT</v>
      </c>
      <c r="I83" s="2">
        <f>_xlfn.XLOOKUP(G83,Input!$E$4:$E$25,Input!$F$4:$F$25)</f>
        <v>5.04E-2</v>
      </c>
      <c r="J83" s="3">
        <f>_xlfn.XLOOKUP(G83,Input!$E$4:$E$25,Input!$G$4:$G$25)</f>
        <v>61.19</v>
      </c>
      <c r="L83" s="31">
        <f t="shared" si="11"/>
        <v>8.673799466988139E-4</v>
      </c>
      <c r="M83" s="32">
        <f t="shared" si="12"/>
        <v>1.6342539630658605E-2</v>
      </c>
      <c r="Q83">
        <v>8.2366399999999999E-4</v>
      </c>
      <c r="R83">
        <v>1.6342539999999999E-2</v>
      </c>
    </row>
    <row r="84" spans="1:18" x14ac:dyDescent="0.2">
      <c r="A84">
        <v>83</v>
      </c>
      <c r="B84" t="s">
        <v>193</v>
      </c>
      <c r="C84" t="s">
        <v>194</v>
      </c>
      <c r="D84" t="s">
        <v>134</v>
      </c>
      <c r="E84" t="s">
        <v>152</v>
      </c>
      <c r="F84" t="s">
        <v>152</v>
      </c>
      <c r="G84" s="5" t="str">
        <f t="shared" si="13"/>
        <v>Natural GasCCGTCCGT</v>
      </c>
      <c r="I84" s="2">
        <f>_xlfn.XLOOKUP(G84,Input!$E$4:$E$25,Input!$F$4:$F$25)</f>
        <v>5.04E-2</v>
      </c>
      <c r="J84" s="3">
        <f>_xlfn.XLOOKUP(G84,Input!$E$4:$E$25,Input!$G$4:$G$25)</f>
        <v>61.19</v>
      </c>
      <c r="L84" s="31">
        <f t="shared" si="11"/>
        <v>8.673799466988139E-4</v>
      </c>
      <c r="M84" s="32">
        <f t="shared" si="12"/>
        <v>1.6342539630658605E-2</v>
      </c>
      <c r="Q84">
        <v>8.2366399999999999E-4</v>
      </c>
      <c r="R84">
        <v>1.6342539999999999E-2</v>
      </c>
    </row>
    <row r="85" spans="1:18" x14ac:dyDescent="0.2">
      <c r="A85">
        <v>84</v>
      </c>
      <c r="B85" t="s">
        <v>195</v>
      </c>
      <c r="C85" t="s">
        <v>196</v>
      </c>
      <c r="D85" t="s">
        <v>134</v>
      </c>
      <c r="E85" t="s">
        <v>135</v>
      </c>
      <c r="F85" t="s">
        <v>135</v>
      </c>
      <c r="G85" s="5" t="str">
        <f t="shared" si="13"/>
        <v>Natural GasOCGTOCGT</v>
      </c>
      <c r="I85" s="2">
        <f>_xlfn.XLOOKUP(G85,Input!$E$4:$E$25,Input!$F$4:$F$25)</f>
        <v>7.2099999999999997E-2</v>
      </c>
      <c r="J85" s="3">
        <f>_xlfn.XLOOKUP(G85,Input!$E$4:$E$25,Input!$G$4:$G$25)</f>
        <v>44.08</v>
      </c>
      <c r="L85" s="31">
        <f t="shared" si="11"/>
        <v>1.7627572280869961E-3</v>
      </c>
      <c r="M85" s="32">
        <f t="shared" si="12"/>
        <v>2.2686025408348458E-2</v>
      </c>
      <c r="Q85">
        <v>9.09091E-4</v>
      </c>
      <c r="R85">
        <v>4.5454544999999999E-2</v>
      </c>
    </row>
    <row r="86" spans="1:18" x14ac:dyDescent="0.2">
      <c r="A86">
        <v>85</v>
      </c>
      <c r="B86" t="s">
        <v>197</v>
      </c>
      <c r="C86" t="s">
        <v>198</v>
      </c>
      <c r="D86" t="s">
        <v>134</v>
      </c>
      <c r="E86" t="s">
        <v>152</v>
      </c>
      <c r="F86" t="s">
        <v>152</v>
      </c>
      <c r="G86" s="5" t="str">
        <f t="shared" si="13"/>
        <v>Natural GasCCGTCCGT</v>
      </c>
      <c r="I86" s="2">
        <f>_xlfn.XLOOKUP(G86,Input!$E$4:$E$25,Input!$F$4:$F$25)</f>
        <v>5.04E-2</v>
      </c>
      <c r="J86" s="3">
        <f>_xlfn.XLOOKUP(G86,Input!$E$4:$E$25,Input!$G$4:$G$25)</f>
        <v>61.19</v>
      </c>
      <c r="L86" s="31">
        <f t="shared" si="11"/>
        <v>8.673799466988139E-4</v>
      </c>
      <c r="M86" s="32">
        <f t="shared" si="12"/>
        <v>1.6342539630658605E-2</v>
      </c>
      <c r="Q86">
        <v>8.2366399999999999E-4</v>
      </c>
      <c r="R86">
        <v>1.6342539999999999E-2</v>
      </c>
    </row>
    <row r="87" spans="1:18" x14ac:dyDescent="0.2">
      <c r="A87">
        <v>86</v>
      </c>
      <c r="B87" t="s">
        <v>199</v>
      </c>
      <c r="C87" t="s">
        <v>200</v>
      </c>
      <c r="D87" t="s">
        <v>134</v>
      </c>
      <c r="E87" t="s">
        <v>135</v>
      </c>
      <c r="F87" t="s">
        <v>135</v>
      </c>
      <c r="G87" s="5" t="str">
        <f t="shared" si="13"/>
        <v>Natural GasOCGTOCGT</v>
      </c>
      <c r="I87" s="2">
        <f>_xlfn.XLOOKUP(G87,Input!$E$4:$E$25,Input!$F$4:$F$25)</f>
        <v>7.2099999999999997E-2</v>
      </c>
      <c r="J87" s="3">
        <f>_xlfn.XLOOKUP(G87,Input!$E$4:$E$25,Input!$G$4:$G$25)</f>
        <v>44.08</v>
      </c>
      <c r="L87" s="31">
        <f t="shared" si="11"/>
        <v>1.7627572280869961E-3</v>
      </c>
      <c r="M87" s="32">
        <f t="shared" si="12"/>
        <v>2.2686025408348458E-2</v>
      </c>
      <c r="Q87">
        <v>1.635662E-3</v>
      </c>
      <c r="R87">
        <v>2.2686024999999999E-2</v>
      </c>
    </row>
    <row r="88" spans="1:18" x14ac:dyDescent="0.2">
      <c r="A88">
        <v>87</v>
      </c>
      <c r="B88" t="s">
        <v>201</v>
      </c>
      <c r="C88" t="s">
        <v>202</v>
      </c>
      <c r="D88" t="s">
        <v>134</v>
      </c>
      <c r="E88" t="s">
        <v>135</v>
      </c>
      <c r="F88" t="s">
        <v>175</v>
      </c>
      <c r="G88" s="5" t="str">
        <f t="shared" si="13"/>
        <v>Natural GasOCGTGas-powered steam turbine</v>
      </c>
      <c r="I88" s="2">
        <f>_xlfn.XLOOKUP(G88,Input!$E$4:$E$25,Input!$F$4:$F$25)</f>
        <v>5.04E-2</v>
      </c>
      <c r="J88" s="3">
        <f>_xlfn.XLOOKUP(G88,Input!$E$4:$E$25,Input!$G$4:$G$25)</f>
        <v>61.19</v>
      </c>
      <c r="L88" s="31">
        <f t="shared" si="11"/>
        <v>8.673799466988139E-4</v>
      </c>
      <c r="M88" s="32">
        <f t="shared" si="12"/>
        <v>1.6342539630658605E-2</v>
      </c>
      <c r="Q88">
        <v>1.635662E-3</v>
      </c>
      <c r="R88">
        <v>2.2686024999999999E-2</v>
      </c>
    </row>
    <row r="89" spans="1:18" x14ac:dyDescent="0.2">
      <c r="A89">
        <v>88</v>
      </c>
      <c r="B89" t="s">
        <v>203</v>
      </c>
      <c r="C89" t="s">
        <v>204</v>
      </c>
      <c r="D89" t="s">
        <v>134</v>
      </c>
      <c r="E89" t="s">
        <v>152</v>
      </c>
      <c r="F89" t="s">
        <v>152</v>
      </c>
      <c r="G89" s="5" t="str">
        <f t="shared" si="13"/>
        <v>Natural GasCCGTCCGT</v>
      </c>
      <c r="I89" s="2">
        <f>_xlfn.XLOOKUP(G89,Input!$E$4:$E$25,Input!$F$4:$F$25)</f>
        <v>5.04E-2</v>
      </c>
      <c r="J89" s="3">
        <f>_xlfn.XLOOKUP(G89,Input!$E$4:$E$25,Input!$G$4:$G$25)</f>
        <v>61.19</v>
      </c>
      <c r="L89" s="31">
        <f t="shared" si="11"/>
        <v>8.673799466988139E-4</v>
      </c>
      <c r="M89" s="32">
        <f t="shared" si="12"/>
        <v>1.6342539630658605E-2</v>
      </c>
      <c r="Q89">
        <v>8.2366399999999999E-4</v>
      </c>
      <c r="R89">
        <v>1.6342539999999999E-2</v>
      </c>
    </row>
    <row r="90" spans="1:18" x14ac:dyDescent="0.2">
      <c r="A90">
        <v>89</v>
      </c>
      <c r="B90" t="s">
        <v>205</v>
      </c>
      <c r="C90" t="s">
        <v>206</v>
      </c>
      <c r="D90" t="s">
        <v>134</v>
      </c>
      <c r="E90" t="s">
        <v>135</v>
      </c>
      <c r="F90" t="s">
        <v>135</v>
      </c>
      <c r="G90" s="5" t="str">
        <f t="shared" si="13"/>
        <v>Natural GasOCGTOCGT</v>
      </c>
      <c r="I90" s="2">
        <f>_xlfn.XLOOKUP(G90,Input!$E$4:$E$25,Input!$F$4:$F$25)</f>
        <v>7.2099999999999997E-2</v>
      </c>
      <c r="J90" s="3">
        <f>_xlfn.XLOOKUP(G90,Input!$E$4:$E$25,Input!$G$4:$G$25)</f>
        <v>44.08</v>
      </c>
      <c r="L90" s="31">
        <f t="shared" si="11"/>
        <v>1.7627572280869961E-3</v>
      </c>
      <c r="M90" s="32">
        <f t="shared" si="12"/>
        <v>2.2686025408348458E-2</v>
      </c>
      <c r="Q90">
        <v>1.635662E-3</v>
      </c>
      <c r="R90">
        <v>2.2686024999999999E-2</v>
      </c>
    </row>
    <row r="91" spans="1:18" x14ac:dyDescent="0.2">
      <c r="A91">
        <v>90</v>
      </c>
      <c r="B91" t="s">
        <v>207</v>
      </c>
      <c r="C91" t="s">
        <v>208</v>
      </c>
      <c r="D91" t="s">
        <v>134</v>
      </c>
      <c r="E91" t="s">
        <v>135</v>
      </c>
      <c r="F91" t="s">
        <v>135</v>
      </c>
      <c r="G91" s="5" t="str">
        <f t="shared" si="13"/>
        <v>Natural GasOCGTOCGT</v>
      </c>
      <c r="I91" s="2">
        <f>_xlfn.XLOOKUP(G91,Input!$E$4:$E$25,Input!$F$4:$F$25)</f>
        <v>7.2099999999999997E-2</v>
      </c>
      <c r="J91" s="3">
        <f>_xlfn.XLOOKUP(G91,Input!$E$4:$E$25,Input!$G$4:$G$25)</f>
        <v>44.08</v>
      </c>
      <c r="L91" s="31">
        <f t="shared" si="11"/>
        <v>1.7627572280869961E-3</v>
      </c>
      <c r="M91" s="32">
        <f t="shared" si="12"/>
        <v>2.2686025408348458E-2</v>
      </c>
      <c r="Q91">
        <v>1.635662E-3</v>
      </c>
      <c r="R91">
        <v>2.2686024999999999E-2</v>
      </c>
    </row>
    <row r="92" spans="1:18" x14ac:dyDescent="0.2">
      <c r="A92">
        <v>91</v>
      </c>
      <c r="B92" t="s">
        <v>209</v>
      </c>
      <c r="C92" t="s">
        <v>210</v>
      </c>
      <c r="D92" t="s">
        <v>134</v>
      </c>
      <c r="E92" t="s">
        <v>152</v>
      </c>
      <c r="F92" t="s">
        <v>152</v>
      </c>
      <c r="G92" s="5" t="str">
        <f t="shared" si="13"/>
        <v>Natural GasCCGTCCGT</v>
      </c>
      <c r="I92" s="2">
        <f>_xlfn.XLOOKUP(G92,Input!$E$4:$E$25,Input!$F$4:$F$25)</f>
        <v>5.04E-2</v>
      </c>
      <c r="J92" s="3">
        <f>_xlfn.XLOOKUP(G92,Input!$E$4:$E$25,Input!$G$4:$G$25)</f>
        <v>61.19</v>
      </c>
      <c r="L92" s="31">
        <f t="shared" si="11"/>
        <v>8.673799466988139E-4</v>
      </c>
      <c r="M92" s="32">
        <f t="shared" si="12"/>
        <v>1.6342539630658605E-2</v>
      </c>
      <c r="Q92">
        <v>8.2366399999999999E-4</v>
      </c>
      <c r="R92">
        <v>1.6342539999999999E-2</v>
      </c>
    </row>
    <row r="93" spans="1:18" x14ac:dyDescent="0.2">
      <c r="A93">
        <v>92</v>
      </c>
      <c r="B93" t="s">
        <v>211</v>
      </c>
      <c r="C93" t="s">
        <v>211</v>
      </c>
      <c r="D93" t="s">
        <v>212</v>
      </c>
      <c r="E93" t="s">
        <v>213</v>
      </c>
      <c r="F93" t="s">
        <v>213</v>
      </c>
      <c r="G93" s="5" t="str">
        <f t="shared" si="13"/>
        <v>SolarRoofPVRoofPV</v>
      </c>
      <c r="I93" s="2">
        <f>_xlfn.XLOOKUP(G93,Input!$E$4:$E$25,Input!$F$4:$F$25)</f>
        <v>0</v>
      </c>
      <c r="J93" s="3">
        <f>_xlfn.XLOOKUP(G93,Input!$E$4:$E$25,Input!$G$4:$G$25)</f>
        <v>1</v>
      </c>
      <c r="L93" s="31">
        <f t="shared" si="11"/>
        <v>0</v>
      </c>
      <c r="M93" s="32">
        <f t="shared" si="12"/>
        <v>1</v>
      </c>
      <c r="Q93">
        <v>0</v>
      </c>
      <c r="R93">
        <v>1</v>
      </c>
    </row>
    <row r="94" spans="1:18" x14ac:dyDescent="0.2">
      <c r="A94">
        <v>93</v>
      </c>
      <c r="B94" t="s">
        <v>214</v>
      </c>
      <c r="C94" t="s">
        <v>214</v>
      </c>
      <c r="D94" t="s">
        <v>212</v>
      </c>
      <c r="E94" t="s">
        <v>213</v>
      </c>
      <c r="F94" t="s">
        <v>213</v>
      </c>
      <c r="G94" s="5" t="str">
        <f t="shared" si="13"/>
        <v>SolarRoofPVRoofPV</v>
      </c>
      <c r="I94" s="2">
        <f>_xlfn.XLOOKUP(G94,Input!$E$4:$E$25,Input!$F$4:$F$25)</f>
        <v>0</v>
      </c>
      <c r="J94" s="3">
        <f>_xlfn.XLOOKUP(G94,Input!$E$4:$E$25,Input!$G$4:$G$25)</f>
        <v>1</v>
      </c>
      <c r="L94" s="31">
        <f t="shared" si="11"/>
        <v>0</v>
      </c>
      <c r="M94" s="32">
        <f t="shared" si="12"/>
        <v>1</v>
      </c>
      <c r="Q94">
        <v>0</v>
      </c>
      <c r="R94">
        <v>1</v>
      </c>
    </row>
    <row r="95" spans="1:18" x14ac:dyDescent="0.2">
      <c r="A95">
        <v>94</v>
      </c>
      <c r="B95" t="s">
        <v>215</v>
      </c>
      <c r="C95" t="s">
        <v>215</v>
      </c>
      <c r="D95" t="s">
        <v>212</v>
      </c>
      <c r="E95" t="s">
        <v>213</v>
      </c>
      <c r="F95" t="s">
        <v>213</v>
      </c>
      <c r="G95" s="5" t="str">
        <f t="shared" si="13"/>
        <v>SolarRoofPVRoofPV</v>
      </c>
      <c r="I95" s="2">
        <f>_xlfn.XLOOKUP(G95,Input!$E$4:$E$25,Input!$F$4:$F$25)</f>
        <v>0</v>
      </c>
      <c r="J95" s="3">
        <f>_xlfn.XLOOKUP(G95,Input!$E$4:$E$25,Input!$G$4:$G$25)</f>
        <v>1</v>
      </c>
      <c r="L95" s="31">
        <f t="shared" si="11"/>
        <v>0</v>
      </c>
      <c r="M95" s="32">
        <f t="shared" si="12"/>
        <v>1</v>
      </c>
      <c r="Q95">
        <v>0</v>
      </c>
      <c r="R95">
        <v>1</v>
      </c>
    </row>
    <row r="96" spans="1:18" x14ac:dyDescent="0.2">
      <c r="A96">
        <v>95</v>
      </c>
      <c r="B96" t="s">
        <v>216</v>
      </c>
      <c r="C96" t="s">
        <v>216</v>
      </c>
      <c r="D96" t="s">
        <v>212</v>
      </c>
      <c r="E96" t="s">
        <v>213</v>
      </c>
      <c r="F96" t="s">
        <v>213</v>
      </c>
      <c r="G96" s="5" t="str">
        <f t="shared" si="13"/>
        <v>SolarRoofPVRoofPV</v>
      </c>
      <c r="I96" s="2">
        <f>_xlfn.XLOOKUP(G96,Input!$E$4:$E$25,Input!$F$4:$F$25)</f>
        <v>0</v>
      </c>
      <c r="J96" s="3">
        <f>_xlfn.XLOOKUP(G96,Input!$E$4:$E$25,Input!$G$4:$G$25)</f>
        <v>1</v>
      </c>
      <c r="L96" s="31">
        <f t="shared" si="11"/>
        <v>0</v>
      </c>
      <c r="M96" s="32">
        <f t="shared" si="12"/>
        <v>1</v>
      </c>
      <c r="Q96">
        <v>0</v>
      </c>
      <c r="R96">
        <v>1</v>
      </c>
    </row>
    <row r="97" spans="1:18" x14ac:dyDescent="0.2">
      <c r="A97">
        <v>96</v>
      </c>
      <c r="B97" t="s">
        <v>217</v>
      </c>
      <c r="C97" t="s">
        <v>217</v>
      </c>
      <c r="D97" t="s">
        <v>212</v>
      </c>
      <c r="E97" t="s">
        <v>213</v>
      </c>
      <c r="F97" t="s">
        <v>213</v>
      </c>
      <c r="G97" s="5" t="str">
        <f t="shared" si="13"/>
        <v>SolarRoofPVRoofPV</v>
      </c>
      <c r="I97" s="2">
        <f>_xlfn.XLOOKUP(G97,Input!$E$4:$E$25,Input!$F$4:$F$25)</f>
        <v>0</v>
      </c>
      <c r="J97" s="3">
        <f>_xlfn.XLOOKUP(G97,Input!$E$4:$E$25,Input!$G$4:$G$25)</f>
        <v>1</v>
      </c>
      <c r="L97" s="31">
        <f t="shared" si="11"/>
        <v>0</v>
      </c>
      <c r="M97" s="32">
        <f t="shared" si="12"/>
        <v>1</v>
      </c>
      <c r="Q97">
        <v>0</v>
      </c>
      <c r="R97">
        <v>1</v>
      </c>
    </row>
    <row r="98" spans="1:18" x14ac:dyDescent="0.2">
      <c r="A98">
        <v>97</v>
      </c>
      <c r="B98" t="s">
        <v>218</v>
      </c>
      <c r="C98" t="s">
        <v>218</v>
      </c>
      <c r="D98" t="s">
        <v>212</v>
      </c>
      <c r="E98" t="s">
        <v>213</v>
      </c>
      <c r="F98" t="s">
        <v>213</v>
      </c>
      <c r="G98" s="5" t="str">
        <f t="shared" si="13"/>
        <v>SolarRoofPVRoofPV</v>
      </c>
      <c r="I98" s="2">
        <f>_xlfn.XLOOKUP(G98,Input!$E$4:$E$25,Input!$F$4:$F$25)</f>
        <v>0</v>
      </c>
      <c r="J98" s="3">
        <f>_xlfn.XLOOKUP(G98,Input!$E$4:$E$25,Input!$G$4:$G$25)</f>
        <v>1</v>
      </c>
      <c r="L98" s="31">
        <f t="shared" si="11"/>
        <v>0</v>
      </c>
      <c r="M98" s="32">
        <f t="shared" si="12"/>
        <v>1</v>
      </c>
      <c r="Q98">
        <v>0</v>
      </c>
      <c r="R98">
        <v>1</v>
      </c>
    </row>
    <row r="99" spans="1:18" x14ac:dyDescent="0.2">
      <c r="A99">
        <v>98</v>
      </c>
      <c r="B99" t="s">
        <v>219</v>
      </c>
      <c r="C99" t="s">
        <v>219</v>
      </c>
      <c r="D99" t="s">
        <v>212</v>
      </c>
      <c r="E99" t="s">
        <v>213</v>
      </c>
      <c r="F99" t="s">
        <v>213</v>
      </c>
      <c r="G99" s="5" t="str">
        <f t="shared" si="13"/>
        <v>SolarRoofPVRoofPV</v>
      </c>
      <c r="I99" s="2">
        <f>_xlfn.XLOOKUP(G99,Input!$E$4:$E$25,Input!$F$4:$F$25)</f>
        <v>0</v>
      </c>
      <c r="J99" s="3">
        <f>_xlfn.XLOOKUP(G99,Input!$E$4:$E$25,Input!$G$4:$G$25)</f>
        <v>1</v>
      </c>
      <c r="L99" s="31">
        <f t="shared" si="11"/>
        <v>0</v>
      </c>
      <c r="M99" s="32">
        <f t="shared" si="12"/>
        <v>1</v>
      </c>
      <c r="Q99">
        <v>0</v>
      </c>
      <c r="R99">
        <v>1</v>
      </c>
    </row>
    <row r="100" spans="1:18" x14ac:dyDescent="0.2">
      <c r="A100">
        <v>99</v>
      </c>
      <c r="B100" t="s">
        <v>220</v>
      </c>
      <c r="C100" t="s">
        <v>220</v>
      </c>
      <c r="D100" t="s">
        <v>212</v>
      </c>
      <c r="E100" t="s">
        <v>213</v>
      </c>
      <c r="F100" t="s">
        <v>213</v>
      </c>
      <c r="G100" s="5" t="str">
        <f t="shared" si="13"/>
        <v>SolarRoofPVRoofPV</v>
      </c>
      <c r="I100" s="2">
        <f>_xlfn.XLOOKUP(G100,Input!$E$4:$E$25,Input!$F$4:$F$25)</f>
        <v>0</v>
      </c>
      <c r="J100" s="3">
        <f>_xlfn.XLOOKUP(G100,Input!$E$4:$E$25,Input!$G$4:$G$25)</f>
        <v>1</v>
      </c>
      <c r="L100" s="31">
        <f t="shared" si="11"/>
        <v>0</v>
      </c>
      <c r="M100" s="32">
        <f t="shared" si="12"/>
        <v>1</v>
      </c>
      <c r="Q100">
        <v>0</v>
      </c>
      <c r="R100">
        <v>1</v>
      </c>
    </row>
    <row r="101" spans="1:18" x14ac:dyDescent="0.2">
      <c r="A101">
        <v>100</v>
      </c>
      <c r="B101" t="s">
        <v>221</v>
      </c>
      <c r="C101" t="s">
        <v>221</v>
      </c>
      <c r="D101" t="s">
        <v>212</v>
      </c>
      <c r="E101" t="s">
        <v>213</v>
      </c>
      <c r="F101" t="s">
        <v>213</v>
      </c>
      <c r="G101" s="5" t="str">
        <f t="shared" si="13"/>
        <v>SolarRoofPVRoofPV</v>
      </c>
      <c r="I101" s="2">
        <f>_xlfn.XLOOKUP(G101,Input!$E$4:$E$25,Input!$F$4:$F$25)</f>
        <v>0</v>
      </c>
      <c r="J101" s="3">
        <f>_xlfn.XLOOKUP(G101,Input!$E$4:$E$25,Input!$G$4:$G$25)</f>
        <v>1</v>
      </c>
      <c r="L101" s="31">
        <f t="shared" si="11"/>
        <v>0</v>
      </c>
      <c r="M101" s="32">
        <f t="shared" si="12"/>
        <v>1</v>
      </c>
      <c r="Q101">
        <v>0</v>
      </c>
      <c r="R101">
        <v>1</v>
      </c>
    </row>
    <row r="102" spans="1:18" x14ac:dyDescent="0.2">
      <c r="A102">
        <v>101</v>
      </c>
      <c r="B102" t="s">
        <v>222</v>
      </c>
      <c r="C102" t="s">
        <v>222</v>
      </c>
      <c r="D102" t="s">
        <v>212</v>
      </c>
      <c r="E102" t="s">
        <v>213</v>
      </c>
      <c r="F102" t="s">
        <v>213</v>
      </c>
      <c r="G102" s="5" t="str">
        <f t="shared" si="13"/>
        <v>SolarRoofPVRoofPV</v>
      </c>
      <c r="I102" s="2">
        <f>_xlfn.XLOOKUP(G102,Input!$E$4:$E$25,Input!$F$4:$F$25)</f>
        <v>0</v>
      </c>
      <c r="J102" s="3">
        <f>_xlfn.XLOOKUP(G102,Input!$E$4:$E$25,Input!$G$4:$G$25)</f>
        <v>1</v>
      </c>
      <c r="L102" s="31">
        <f t="shared" si="11"/>
        <v>0</v>
      </c>
      <c r="M102" s="32">
        <f t="shared" si="12"/>
        <v>1</v>
      </c>
      <c r="Q102">
        <v>0</v>
      </c>
      <c r="R102">
        <v>1</v>
      </c>
    </row>
    <row r="103" spans="1:18" x14ac:dyDescent="0.2">
      <c r="A103">
        <v>102</v>
      </c>
      <c r="B103" t="s">
        <v>223</v>
      </c>
      <c r="C103" t="s">
        <v>223</v>
      </c>
      <c r="D103" t="s">
        <v>212</v>
      </c>
      <c r="E103" t="s">
        <v>213</v>
      </c>
      <c r="F103" t="s">
        <v>213</v>
      </c>
      <c r="G103" s="5" t="str">
        <f t="shared" si="13"/>
        <v>SolarRoofPVRoofPV</v>
      </c>
      <c r="I103" s="2">
        <f>_xlfn.XLOOKUP(G103,Input!$E$4:$E$25,Input!$F$4:$F$25)</f>
        <v>0</v>
      </c>
      <c r="J103" s="3">
        <f>_xlfn.XLOOKUP(G103,Input!$E$4:$E$25,Input!$G$4:$G$25)</f>
        <v>1</v>
      </c>
      <c r="L103" s="31">
        <f t="shared" si="11"/>
        <v>0</v>
      </c>
      <c r="M103" s="32">
        <f t="shared" si="12"/>
        <v>1</v>
      </c>
      <c r="Q103">
        <v>0</v>
      </c>
      <c r="R103">
        <v>1</v>
      </c>
    </row>
    <row r="104" spans="1:18" x14ac:dyDescent="0.2">
      <c r="A104">
        <v>103</v>
      </c>
      <c r="B104" t="s">
        <v>224</v>
      </c>
      <c r="C104" t="s">
        <v>224</v>
      </c>
      <c r="D104" t="s">
        <v>212</v>
      </c>
      <c r="E104" t="s">
        <v>213</v>
      </c>
      <c r="F104" t="s">
        <v>213</v>
      </c>
      <c r="G104" s="5" t="str">
        <f t="shared" si="13"/>
        <v>SolarRoofPVRoofPV</v>
      </c>
      <c r="I104" s="2">
        <f>_xlfn.XLOOKUP(G104,Input!$E$4:$E$25,Input!$F$4:$F$25)</f>
        <v>0</v>
      </c>
      <c r="J104" s="3">
        <f>_xlfn.XLOOKUP(G104,Input!$E$4:$E$25,Input!$G$4:$G$25)</f>
        <v>1</v>
      </c>
      <c r="L104" s="31">
        <f t="shared" si="11"/>
        <v>0</v>
      </c>
      <c r="M104" s="32">
        <f t="shared" si="12"/>
        <v>1</v>
      </c>
      <c r="Q104">
        <v>0</v>
      </c>
      <c r="R104">
        <v>1</v>
      </c>
    </row>
    <row r="105" spans="1:18" x14ac:dyDescent="0.2">
      <c r="A105">
        <v>104</v>
      </c>
      <c r="B105" t="s">
        <v>225</v>
      </c>
      <c r="C105" t="s">
        <v>225</v>
      </c>
      <c r="D105" t="s">
        <v>212</v>
      </c>
      <c r="E105" t="s">
        <v>226</v>
      </c>
      <c r="F105" t="s">
        <v>226</v>
      </c>
      <c r="G105" s="5" t="str">
        <f t="shared" si="13"/>
        <v>SolarLargePVLargePV</v>
      </c>
      <c r="I105" s="2">
        <f>_xlfn.XLOOKUP(G105,Input!$E$4:$E$25,Input!$F$4:$F$25)</f>
        <v>0</v>
      </c>
      <c r="J105" s="3">
        <f>_xlfn.XLOOKUP(G105,Input!$E$4:$E$25,Input!$G$4:$G$25)</f>
        <v>1</v>
      </c>
      <c r="L105" s="31">
        <f t="shared" si="11"/>
        <v>0</v>
      </c>
      <c r="M105" s="32">
        <f t="shared" si="12"/>
        <v>1</v>
      </c>
      <c r="Q105">
        <v>0</v>
      </c>
      <c r="R105">
        <v>1</v>
      </c>
    </row>
    <row r="106" spans="1:18" x14ac:dyDescent="0.2">
      <c r="A106">
        <v>105</v>
      </c>
      <c r="B106" t="s">
        <v>227</v>
      </c>
      <c r="C106" t="s">
        <v>227</v>
      </c>
      <c r="D106" t="s">
        <v>212</v>
      </c>
      <c r="E106" t="s">
        <v>226</v>
      </c>
      <c r="F106" t="s">
        <v>226</v>
      </c>
      <c r="G106" s="5" t="str">
        <f t="shared" si="13"/>
        <v>SolarLargePVLargePV</v>
      </c>
      <c r="I106" s="2">
        <f>_xlfn.XLOOKUP(G106,Input!$E$4:$E$25,Input!$F$4:$F$25)</f>
        <v>0</v>
      </c>
      <c r="J106" s="3">
        <f>_xlfn.XLOOKUP(G106,Input!$E$4:$E$25,Input!$G$4:$G$25)</f>
        <v>1</v>
      </c>
      <c r="L106" s="31">
        <f t="shared" si="11"/>
        <v>0</v>
      </c>
      <c r="M106" s="32">
        <f t="shared" si="12"/>
        <v>1</v>
      </c>
      <c r="Q106">
        <v>0</v>
      </c>
      <c r="R106">
        <v>1</v>
      </c>
    </row>
    <row r="107" spans="1:18" x14ac:dyDescent="0.2">
      <c r="A107">
        <v>106</v>
      </c>
      <c r="B107" t="s">
        <v>228</v>
      </c>
      <c r="C107" t="s">
        <v>228</v>
      </c>
      <c r="D107" t="s">
        <v>212</v>
      </c>
      <c r="E107" t="s">
        <v>226</v>
      </c>
      <c r="F107" t="s">
        <v>226</v>
      </c>
      <c r="G107" s="5" t="str">
        <f t="shared" si="13"/>
        <v>SolarLargePVLargePV</v>
      </c>
      <c r="I107" s="2">
        <f>_xlfn.XLOOKUP(G107,Input!$E$4:$E$25,Input!$F$4:$F$25)</f>
        <v>0</v>
      </c>
      <c r="J107" s="3">
        <f>_xlfn.XLOOKUP(G107,Input!$E$4:$E$25,Input!$G$4:$G$25)</f>
        <v>1</v>
      </c>
      <c r="L107" s="31">
        <f t="shared" si="11"/>
        <v>0</v>
      </c>
      <c r="M107" s="32">
        <f t="shared" si="12"/>
        <v>1</v>
      </c>
      <c r="Q107">
        <v>0</v>
      </c>
      <c r="R107">
        <v>1</v>
      </c>
    </row>
    <row r="108" spans="1:18" x14ac:dyDescent="0.2">
      <c r="A108">
        <v>107</v>
      </c>
      <c r="B108" t="s">
        <v>229</v>
      </c>
      <c r="C108" t="s">
        <v>229</v>
      </c>
      <c r="D108" t="s">
        <v>212</v>
      </c>
      <c r="E108" t="s">
        <v>226</v>
      </c>
      <c r="F108" t="s">
        <v>226</v>
      </c>
      <c r="G108" s="5" t="str">
        <f t="shared" si="13"/>
        <v>SolarLargePVLargePV</v>
      </c>
      <c r="I108" s="2">
        <f>_xlfn.XLOOKUP(G108,Input!$E$4:$E$25,Input!$F$4:$F$25)</f>
        <v>0</v>
      </c>
      <c r="J108" s="3">
        <f>_xlfn.XLOOKUP(G108,Input!$E$4:$E$25,Input!$G$4:$G$25)</f>
        <v>1</v>
      </c>
      <c r="L108" s="31">
        <f t="shared" si="11"/>
        <v>0</v>
      </c>
      <c r="M108" s="32">
        <f t="shared" si="12"/>
        <v>1</v>
      </c>
      <c r="Q108">
        <v>0</v>
      </c>
      <c r="R108">
        <v>1</v>
      </c>
    </row>
    <row r="109" spans="1:18" x14ac:dyDescent="0.2">
      <c r="A109">
        <v>108</v>
      </c>
      <c r="B109" t="s">
        <v>230</v>
      </c>
      <c r="C109" t="s">
        <v>230</v>
      </c>
      <c r="D109" t="s">
        <v>212</v>
      </c>
      <c r="E109" t="s">
        <v>226</v>
      </c>
      <c r="F109" t="s">
        <v>226</v>
      </c>
      <c r="G109" s="5" t="str">
        <f t="shared" si="13"/>
        <v>SolarLargePVLargePV</v>
      </c>
      <c r="I109" s="2">
        <f>_xlfn.XLOOKUP(G109,Input!$E$4:$E$25,Input!$F$4:$F$25)</f>
        <v>0</v>
      </c>
      <c r="J109" s="3">
        <f>_xlfn.XLOOKUP(G109,Input!$E$4:$E$25,Input!$G$4:$G$25)</f>
        <v>1</v>
      </c>
      <c r="L109" s="31">
        <f t="shared" si="11"/>
        <v>0</v>
      </c>
      <c r="M109" s="32">
        <f t="shared" si="12"/>
        <v>1</v>
      </c>
      <c r="Q109">
        <v>0</v>
      </c>
      <c r="R109">
        <v>1</v>
      </c>
    </row>
    <row r="110" spans="1:18" x14ac:dyDescent="0.2">
      <c r="A110">
        <v>109</v>
      </c>
      <c r="B110" t="s">
        <v>231</v>
      </c>
      <c r="C110" t="s">
        <v>231</v>
      </c>
      <c r="D110" t="s">
        <v>212</v>
      </c>
      <c r="E110" t="s">
        <v>226</v>
      </c>
      <c r="F110" t="s">
        <v>226</v>
      </c>
      <c r="G110" s="5" t="str">
        <f t="shared" si="13"/>
        <v>SolarLargePVLargePV</v>
      </c>
      <c r="I110" s="2">
        <f>_xlfn.XLOOKUP(G110,Input!$E$4:$E$25,Input!$F$4:$F$25)</f>
        <v>0</v>
      </c>
      <c r="J110" s="3">
        <f>_xlfn.XLOOKUP(G110,Input!$E$4:$E$25,Input!$G$4:$G$25)</f>
        <v>1</v>
      </c>
      <c r="L110" s="31">
        <f t="shared" si="11"/>
        <v>0</v>
      </c>
      <c r="M110" s="32">
        <f t="shared" si="12"/>
        <v>1</v>
      </c>
      <c r="Q110">
        <v>0</v>
      </c>
      <c r="R110">
        <v>1</v>
      </c>
    </row>
    <row r="111" spans="1:18" x14ac:dyDescent="0.2">
      <c r="A111">
        <v>110</v>
      </c>
      <c r="B111" t="s">
        <v>232</v>
      </c>
      <c r="C111" t="s">
        <v>232</v>
      </c>
      <c r="D111" t="s">
        <v>212</v>
      </c>
      <c r="E111" t="s">
        <v>226</v>
      </c>
      <c r="F111" t="s">
        <v>226</v>
      </c>
      <c r="G111" s="5" t="str">
        <f t="shared" si="13"/>
        <v>SolarLargePVLargePV</v>
      </c>
      <c r="I111" s="2">
        <f>_xlfn.XLOOKUP(G111,Input!$E$4:$E$25,Input!$F$4:$F$25)</f>
        <v>0</v>
      </c>
      <c r="J111" s="3">
        <f>_xlfn.XLOOKUP(G111,Input!$E$4:$E$25,Input!$G$4:$G$25)</f>
        <v>1</v>
      </c>
      <c r="L111" s="31">
        <f t="shared" si="11"/>
        <v>0</v>
      </c>
      <c r="M111" s="32">
        <f t="shared" si="12"/>
        <v>1</v>
      </c>
      <c r="Q111">
        <v>0</v>
      </c>
      <c r="R111">
        <v>1</v>
      </c>
    </row>
    <row r="112" spans="1:18" x14ac:dyDescent="0.2">
      <c r="A112">
        <v>111</v>
      </c>
      <c r="B112" t="s">
        <v>233</v>
      </c>
      <c r="C112" t="s">
        <v>233</v>
      </c>
      <c r="D112" t="s">
        <v>212</v>
      </c>
      <c r="E112" t="s">
        <v>226</v>
      </c>
      <c r="F112" t="s">
        <v>226</v>
      </c>
      <c r="G112" s="5" t="str">
        <f t="shared" si="13"/>
        <v>SolarLargePVLargePV</v>
      </c>
      <c r="I112" s="2">
        <f>_xlfn.XLOOKUP(G112,Input!$E$4:$E$25,Input!$F$4:$F$25)</f>
        <v>0</v>
      </c>
      <c r="J112" s="3">
        <f>_xlfn.XLOOKUP(G112,Input!$E$4:$E$25,Input!$G$4:$G$25)</f>
        <v>1</v>
      </c>
      <c r="L112" s="31">
        <f t="shared" si="11"/>
        <v>0</v>
      </c>
      <c r="M112" s="32">
        <f t="shared" si="12"/>
        <v>1</v>
      </c>
      <c r="Q112">
        <v>0</v>
      </c>
      <c r="R112">
        <v>1</v>
      </c>
    </row>
    <row r="113" spans="1:18" x14ac:dyDescent="0.2">
      <c r="A113">
        <v>112</v>
      </c>
      <c r="B113" t="s">
        <v>234</v>
      </c>
      <c r="C113" t="s">
        <v>234</v>
      </c>
      <c r="D113" t="s">
        <v>212</v>
      </c>
      <c r="E113" t="s">
        <v>226</v>
      </c>
      <c r="F113" t="s">
        <v>226</v>
      </c>
      <c r="G113" s="5" t="str">
        <f t="shared" si="13"/>
        <v>SolarLargePVLargePV</v>
      </c>
      <c r="I113" s="2">
        <f>_xlfn.XLOOKUP(G113,Input!$E$4:$E$25,Input!$F$4:$F$25)</f>
        <v>0</v>
      </c>
      <c r="J113" s="3">
        <f>_xlfn.XLOOKUP(G113,Input!$E$4:$E$25,Input!$G$4:$G$25)</f>
        <v>1</v>
      </c>
      <c r="L113" s="31">
        <f t="shared" si="11"/>
        <v>0</v>
      </c>
      <c r="M113" s="32">
        <f t="shared" si="12"/>
        <v>1</v>
      </c>
      <c r="Q113">
        <v>0</v>
      </c>
      <c r="R113">
        <v>1</v>
      </c>
    </row>
    <row r="114" spans="1:18" x14ac:dyDescent="0.2">
      <c r="A114">
        <v>113</v>
      </c>
      <c r="B114" t="s">
        <v>235</v>
      </c>
      <c r="C114" t="s">
        <v>235</v>
      </c>
      <c r="D114" t="s">
        <v>212</v>
      </c>
      <c r="E114" t="s">
        <v>226</v>
      </c>
      <c r="F114" t="s">
        <v>226</v>
      </c>
      <c r="G114" s="5" t="str">
        <f t="shared" si="13"/>
        <v>SolarLargePVLargePV</v>
      </c>
      <c r="I114" s="2">
        <f>_xlfn.XLOOKUP(G114,Input!$E$4:$E$25,Input!$F$4:$F$25)</f>
        <v>0</v>
      </c>
      <c r="J114" s="3">
        <f>_xlfn.XLOOKUP(G114,Input!$E$4:$E$25,Input!$G$4:$G$25)</f>
        <v>1</v>
      </c>
      <c r="L114" s="31">
        <f t="shared" si="11"/>
        <v>0</v>
      </c>
      <c r="M114" s="32">
        <f t="shared" si="12"/>
        <v>1</v>
      </c>
      <c r="Q114">
        <v>0</v>
      </c>
      <c r="R114">
        <v>1</v>
      </c>
    </row>
    <row r="115" spans="1:18" x14ac:dyDescent="0.2">
      <c r="A115">
        <v>114</v>
      </c>
      <c r="B115" t="s">
        <v>236</v>
      </c>
      <c r="C115" t="s">
        <v>236</v>
      </c>
      <c r="D115" t="s">
        <v>237</v>
      </c>
      <c r="E115" t="s">
        <v>237</v>
      </c>
      <c r="F115" t="s">
        <v>237</v>
      </c>
      <c r="G115" s="5" t="str">
        <f t="shared" si="13"/>
        <v>WindWindWind</v>
      </c>
      <c r="I115" s="2">
        <f>_xlfn.XLOOKUP(G115,Input!$E$4:$E$25,Input!$F$4:$F$25)</f>
        <v>0</v>
      </c>
      <c r="J115" s="3">
        <f>_xlfn.XLOOKUP(G115,Input!$E$4:$E$25,Input!$G$4:$G$25)</f>
        <v>1</v>
      </c>
      <c r="L115" s="31">
        <f t="shared" si="11"/>
        <v>0</v>
      </c>
      <c r="M115" s="32">
        <f t="shared" si="12"/>
        <v>1</v>
      </c>
      <c r="Q115">
        <v>0</v>
      </c>
      <c r="R115">
        <v>1</v>
      </c>
    </row>
    <row r="116" spans="1:18" x14ac:dyDescent="0.2">
      <c r="A116">
        <v>115</v>
      </c>
      <c r="B116" t="s">
        <v>238</v>
      </c>
      <c r="C116" t="s">
        <v>238</v>
      </c>
      <c r="D116" t="s">
        <v>237</v>
      </c>
      <c r="E116" t="s">
        <v>237</v>
      </c>
      <c r="F116" t="s">
        <v>237</v>
      </c>
      <c r="G116" s="5" t="str">
        <f t="shared" si="13"/>
        <v>WindWindWind</v>
      </c>
      <c r="I116" s="2">
        <f>_xlfn.XLOOKUP(G116,Input!$E$4:$E$25,Input!$F$4:$F$25)</f>
        <v>0</v>
      </c>
      <c r="J116" s="3">
        <f>_xlfn.XLOOKUP(G116,Input!$E$4:$E$25,Input!$G$4:$G$25)</f>
        <v>1</v>
      </c>
      <c r="L116" s="31">
        <f t="shared" si="11"/>
        <v>0</v>
      </c>
      <c r="M116" s="32">
        <f t="shared" si="12"/>
        <v>1</v>
      </c>
      <c r="Q116">
        <v>0</v>
      </c>
      <c r="R116">
        <v>1</v>
      </c>
    </row>
    <row r="117" spans="1:18" x14ac:dyDescent="0.2">
      <c r="A117">
        <v>116</v>
      </c>
      <c r="B117" t="s">
        <v>239</v>
      </c>
      <c r="C117" t="s">
        <v>239</v>
      </c>
      <c r="D117" t="s">
        <v>237</v>
      </c>
      <c r="E117" t="s">
        <v>237</v>
      </c>
      <c r="F117" t="s">
        <v>237</v>
      </c>
      <c r="G117" s="5" t="str">
        <f t="shared" si="13"/>
        <v>WindWindWind</v>
      </c>
      <c r="I117" s="2">
        <f>_xlfn.XLOOKUP(G117,Input!$E$4:$E$25,Input!$F$4:$F$25)</f>
        <v>0</v>
      </c>
      <c r="J117" s="3">
        <f>_xlfn.XLOOKUP(G117,Input!$E$4:$E$25,Input!$G$4:$G$25)</f>
        <v>1</v>
      </c>
      <c r="L117" s="31">
        <f t="shared" si="11"/>
        <v>0</v>
      </c>
      <c r="M117" s="32">
        <f t="shared" si="12"/>
        <v>1</v>
      </c>
      <c r="Q117">
        <v>0</v>
      </c>
      <c r="R117">
        <v>1</v>
      </c>
    </row>
    <row r="118" spans="1:18" x14ac:dyDescent="0.2">
      <c r="A118">
        <v>117</v>
      </c>
      <c r="B118" t="s">
        <v>240</v>
      </c>
      <c r="C118" t="s">
        <v>240</v>
      </c>
      <c r="D118" t="s">
        <v>237</v>
      </c>
      <c r="E118" t="s">
        <v>237</v>
      </c>
      <c r="F118" t="s">
        <v>237</v>
      </c>
      <c r="G118" s="5" t="str">
        <f t="shared" si="13"/>
        <v>WindWindWind</v>
      </c>
      <c r="I118" s="2">
        <f>_xlfn.XLOOKUP(G118,Input!$E$4:$E$25,Input!$F$4:$F$25)</f>
        <v>0</v>
      </c>
      <c r="J118" s="3">
        <f>_xlfn.XLOOKUP(G118,Input!$E$4:$E$25,Input!$G$4:$G$25)</f>
        <v>1</v>
      </c>
      <c r="L118" s="31">
        <f t="shared" si="11"/>
        <v>0</v>
      </c>
      <c r="M118" s="32">
        <f t="shared" si="12"/>
        <v>1</v>
      </c>
      <c r="Q118">
        <v>0</v>
      </c>
      <c r="R118">
        <v>1</v>
      </c>
    </row>
    <row r="119" spans="1:18" x14ac:dyDescent="0.2">
      <c r="A119">
        <v>118</v>
      </c>
      <c r="B119" t="s">
        <v>241</v>
      </c>
      <c r="C119" t="s">
        <v>241</v>
      </c>
      <c r="D119" t="s">
        <v>237</v>
      </c>
      <c r="E119" t="s">
        <v>237</v>
      </c>
      <c r="F119" t="s">
        <v>237</v>
      </c>
      <c r="G119" s="5" t="str">
        <f t="shared" si="13"/>
        <v>WindWindWind</v>
      </c>
      <c r="I119" s="2">
        <f>_xlfn.XLOOKUP(G119,Input!$E$4:$E$25,Input!$F$4:$F$25)</f>
        <v>0</v>
      </c>
      <c r="J119" s="3">
        <f>_xlfn.XLOOKUP(G119,Input!$E$4:$E$25,Input!$G$4:$G$25)</f>
        <v>1</v>
      </c>
      <c r="L119" s="31">
        <f t="shared" si="11"/>
        <v>0</v>
      </c>
      <c r="M119" s="32">
        <f t="shared" si="12"/>
        <v>1</v>
      </c>
      <c r="Q119">
        <v>0</v>
      </c>
      <c r="R119">
        <v>1</v>
      </c>
    </row>
    <row r="120" spans="1:18" x14ac:dyDescent="0.2">
      <c r="A120">
        <v>119</v>
      </c>
      <c r="B120" t="s">
        <v>242</v>
      </c>
      <c r="C120" t="s">
        <v>242</v>
      </c>
      <c r="D120" t="s">
        <v>237</v>
      </c>
      <c r="E120" t="s">
        <v>237</v>
      </c>
      <c r="F120" t="s">
        <v>237</v>
      </c>
      <c r="G120" s="5" t="str">
        <f t="shared" si="13"/>
        <v>WindWindWind</v>
      </c>
      <c r="I120" s="2">
        <f>_xlfn.XLOOKUP(G120,Input!$E$4:$E$25,Input!$F$4:$F$25)</f>
        <v>0</v>
      </c>
      <c r="J120" s="3">
        <f>_xlfn.XLOOKUP(G120,Input!$E$4:$E$25,Input!$G$4:$G$25)</f>
        <v>1</v>
      </c>
      <c r="L120" s="31">
        <f t="shared" ref="L120:L124" si="14">I120/(J120*(1-I120))</f>
        <v>0</v>
      </c>
      <c r="M120" s="32">
        <f t="shared" ref="M120:M124" si="15">1/J120</f>
        <v>1</v>
      </c>
      <c r="Q120">
        <v>0</v>
      </c>
      <c r="R120">
        <v>1</v>
      </c>
    </row>
    <row r="121" spans="1:18" x14ac:dyDescent="0.2">
      <c r="A121">
        <v>120</v>
      </c>
      <c r="B121" t="s">
        <v>243</v>
      </c>
      <c r="C121" t="s">
        <v>243</v>
      </c>
      <c r="D121" t="s">
        <v>237</v>
      </c>
      <c r="E121" t="s">
        <v>237</v>
      </c>
      <c r="F121" t="s">
        <v>237</v>
      </c>
      <c r="G121" s="5" t="str">
        <f t="shared" si="13"/>
        <v>WindWindWind</v>
      </c>
      <c r="I121" s="2">
        <f>_xlfn.XLOOKUP(G121,Input!$E$4:$E$25,Input!$F$4:$F$25)</f>
        <v>0</v>
      </c>
      <c r="J121" s="3">
        <f>_xlfn.XLOOKUP(G121,Input!$E$4:$E$25,Input!$G$4:$G$25)</f>
        <v>1</v>
      </c>
      <c r="L121" s="31">
        <f t="shared" si="14"/>
        <v>0</v>
      </c>
      <c r="M121" s="32">
        <f t="shared" si="15"/>
        <v>1</v>
      </c>
      <c r="Q121">
        <v>0</v>
      </c>
      <c r="R121">
        <v>1</v>
      </c>
    </row>
    <row r="122" spans="1:18" x14ac:dyDescent="0.2">
      <c r="A122">
        <v>121</v>
      </c>
      <c r="B122" t="s">
        <v>244</v>
      </c>
      <c r="C122" t="s">
        <v>244</v>
      </c>
      <c r="D122" t="s">
        <v>237</v>
      </c>
      <c r="E122" t="s">
        <v>237</v>
      </c>
      <c r="F122" t="s">
        <v>237</v>
      </c>
      <c r="G122" s="5" t="str">
        <f t="shared" si="13"/>
        <v>WindWindWind</v>
      </c>
      <c r="I122" s="2">
        <f>_xlfn.XLOOKUP(G122,Input!$E$4:$E$25,Input!$F$4:$F$25)</f>
        <v>0</v>
      </c>
      <c r="J122" s="3">
        <f>_xlfn.XLOOKUP(G122,Input!$E$4:$E$25,Input!$G$4:$G$25)</f>
        <v>1</v>
      </c>
      <c r="L122" s="31">
        <f t="shared" si="14"/>
        <v>0</v>
      </c>
      <c r="M122" s="32">
        <f t="shared" si="15"/>
        <v>1</v>
      </c>
      <c r="Q122">
        <v>0</v>
      </c>
      <c r="R122">
        <v>1</v>
      </c>
    </row>
    <row r="123" spans="1:18" x14ac:dyDescent="0.2">
      <c r="A123">
        <v>122</v>
      </c>
      <c r="B123" t="s">
        <v>245</v>
      </c>
      <c r="C123" t="s">
        <v>245</v>
      </c>
      <c r="D123" t="s">
        <v>237</v>
      </c>
      <c r="E123" t="s">
        <v>237</v>
      </c>
      <c r="F123" t="s">
        <v>237</v>
      </c>
      <c r="G123" s="5" t="str">
        <f t="shared" si="13"/>
        <v>WindWindWind</v>
      </c>
      <c r="I123" s="2">
        <f>_xlfn.XLOOKUP(G123,Input!$E$4:$E$25,Input!$F$4:$F$25)</f>
        <v>0</v>
      </c>
      <c r="J123" s="3">
        <f>_xlfn.XLOOKUP(G123,Input!$E$4:$E$25,Input!$G$4:$G$25)</f>
        <v>1</v>
      </c>
      <c r="L123" s="31">
        <f t="shared" si="14"/>
        <v>0</v>
      </c>
      <c r="M123" s="32">
        <f t="shared" si="15"/>
        <v>1</v>
      </c>
      <c r="Q123">
        <v>0</v>
      </c>
      <c r="R123">
        <v>1</v>
      </c>
    </row>
    <row r="124" spans="1:18" x14ac:dyDescent="0.2">
      <c r="A124">
        <v>123</v>
      </c>
      <c r="B124" t="s">
        <v>246</v>
      </c>
      <c r="C124" t="s">
        <v>246</v>
      </c>
      <c r="D124" t="s">
        <v>237</v>
      </c>
      <c r="E124" t="s">
        <v>237</v>
      </c>
      <c r="F124" t="s">
        <v>237</v>
      </c>
      <c r="G124" s="5" t="str">
        <f t="shared" si="13"/>
        <v>WindWindWind</v>
      </c>
      <c r="I124" s="2">
        <f>_xlfn.XLOOKUP(G124,Input!$E$4:$E$25,Input!$F$4:$F$25)</f>
        <v>0</v>
      </c>
      <c r="J124" s="3">
        <f>_xlfn.XLOOKUP(G124,Input!$E$4:$E$25,Input!$G$4:$G$25)</f>
        <v>1</v>
      </c>
      <c r="L124" s="31">
        <f t="shared" si="14"/>
        <v>0</v>
      </c>
      <c r="M124" s="32">
        <f t="shared" si="15"/>
        <v>1</v>
      </c>
      <c r="Q124">
        <v>0</v>
      </c>
      <c r="R124">
        <v>1</v>
      </c>
    </row>
  </sheetData>
  <autoFilter ref="A1:R1" xr:uid="{4390294B-1882-4AE0-B164-6DB73A3E4F8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Kopka</dc:creator>
  <cp:lastModifiedBy>Tim Kopka</cp:lastModifiedBy>
  <dcterms:created xsi:type="dcterms:W3CDTF">2025-07-22T02:14:12Z</dcterms:created>
  <dcterms:modified xsi:type="dcterms:W3CDTF">2025-08-20T07:09:59Z</dcterms:modified>
</cp:coreProperties>
</file>