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defaultThemeVersion="202300"/>
  <mc:AlternateContent xmlns:mc="http://schemas.openxmlformats.org/markup-compatibility/2006">
    <mc:Choice Requires="x15">
      <x15ac:absPath xmlns:x15ac="http://schemas.microsoft.com/office/spreadsheetml/2010/11/ac" url="/Users/samcato/Desktop/Uni/Masters Final Sem/Directed_Studies/PRAS Datasets/"/>
    </mc:Choice>
  </mc:AlternateContent>
  <xr:revisionPtr revIDLastSave="0" documentId="13_ncr:1_{47577AC9-666A-0F4F-86DB-9005BCB24AC0}" xr6:coauthVersionLast="47" xr6:coauthVersionMax="47" xr10:uidLastSave="{00000000-0000-0000-0000-000000000000}"/>
  <bookViews>
    <workbookView xWindow="0" yWindow="740" windowWidth="30240" windowHeight="18900" xr2:uid="{BC1E3331-304E-2243-9E38-5EDC8705E07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37" i="1" l="1"/>
  <c r="AA39" i="1"/>
  <c r="AA42" i="1"/>
  <c r="AA43" i="1"/>
  <c r="AA36" i="1"/>
  <c r="Z41" i="1" s="1"/>
  <c r="P38" i="1"/>
  <c r="P41" i="1" s="1"/>
  <c r="Q38" i="1"/>
  <c r="Q40" i="1" s="1"/>
  <c r="R38" i="1"/>
  <c r="S38" i="1"/>
  <c r="T38" i="1"/>
  <c r="T40" i="1" s="1"/>
  <c r="U38" i="1"/>
  <c r="U40" i="1" s="1"/>
  <c r="V38" i="1"/>
  <c r="V40" i="1" s="1"/>
  <c r="W38" i="1"/>
  <c r="W40" i="1" s="1"/>
  <c r="X38" i="1"/>
  <c r="X41" i="1" s="1"/>
  <c r="Y38" i="1"/>
  <c r="Y41" i="1" s="1"/>
  <c r="Z38" i="1"/>
  <c r="O38" i="1"/>
  <c r="AA38" i="1" s="1"/>
  <c r="P74" i="1"/>
  <c r="Q74" i="1"/>
  <c r="R74" i="1"/>
  <c r="S74" i="1"/>
  <c r="T74" i="1"/>
  <c r="U74" i="1"/>
  <c r="V74" i="1"/>
  <c r="W74" i="1"/>
  <c r="X74" i="1"/>
  <c r="Y74" i="1"/>
  <c r="Z74" i="1"/>
  <c r="O74" i="1"/>
  <c r="P22" i="1"/>
  <c r="Q22" i="1"/>
  <c r="R22" i="1"/>
  <c r="S22" i="1"/>
  <c r="T22" i="1"/>
  <c r="U22" i="1"/>
  <c r="V22" i="1"/>
  <c r="W22" i="1"/>
  <c r="X22" i="1"/>
  <c r="Y22" i="1"/>
  <c r="Z22" i="1"/>
  <c r="O22" i="1"/>
  <c r="F61" i="1"/>
  <c r="F62" i="1"/>
  <c r="F63" i="1"/>
  <c r="F64" i="1"/>
  <c r="F65" i="1"/>
  <c r="F66" i="1"/>
  <c r="F67" i="1"/>
  <c r="F68" i="1"/>
  <c r="F69" i="1"/>
  <c r="F70" i="1"/>
  <c r="F71" i="1"/>
  <c r="F72" i="1"/>
  <c r="F73" i="1"/>
  <c r="F74" i="1"/>
  <c r="F75" i="1"/>
  <c r="F76" i="1"/>
  <c r="F60" i="1"/>
  <c r="F35" i="1"/>
  <c r="H35" i="1" s="1"/>
  <c r="F34" i="1"/>
  <c r="H34" i="1" s="1"/>
  <c r="AB61" i="1"/>
  <c r="AB60" i="1"/>
  <c r="AB59" i="1"/>
  <c r="H49" i="1"/>
  <c r="H48" i="1"/>
  <c r="H33" i="1"/>
  <c r="H32" i="1"/>
  <c r="H31" i="1"/>
  <c r="H30" i="1"/>
  <c r="F33" i="1"/>
  <c r="F32" i="1"/>
  <c r="F10" i="1"/>
  <c r="F11" i="1"/>
  <c r="F12" i="1"/>
  <c r="F13" i="1"/>
  <c r="F14" i="1"/>
  <c r="F9" i="1"/>
  <c r="AB9" i="1"/>
  <c r="AB8" i="1"/>
  <c r="AB7" i="1"/>
  <c r="R40" i="1" l="1"/>
  <c r="Z40" i="1"/>
  <c r="S40" i="1"/>
  <c r="O40" i="1"/>
  <c r="AA40" i="1" s="1"/>
  <c r="Q41" i="1"/>
  <c r="R41" i="1"/>
  <c r="T41" i="1"/>
  <c r="U41" i="1"/>
  <c r="V41" i="1"/>
  <c r="W41" i="1"/>
  <c r="Y40" i="1"/>
  <c r="X40" i="1"/>
  <c r="P40" i="1"/>
  <c r="O41" i="1"/>
  <c r="S41" i="1"/>
  <c r="AA41" i="1"/>
</calcChain>
</file>

<file path=xl/sharedStrings.xml><?xml version="1.0" encoding="utf-8"?>
<sst xmlns="http://schemas.openxmlformats.org/spreadsheetml/2006/main" count="235" uniqueCount="102">
  <si>
    <t>Hydro Inflows</t>
  </si>
  <si>
    <t>Snowy Scheme:</t>
  </si>
  <si>
    <t>https://www.snowyhydro.com.au/generation/the-snowy-scheme/</t>
  </si>
  <si>
    <t xml:space="preserve">Comprises of many dams and turbines, some of which are actually located in VIC. </t>
  </si>
  <si>
    <t>Snowy scheme</t>
  </si>
  <si>
    <t>The Snowy scheme will consider the influence of specific historical reference years. Data used in AEMO's modelling reflects confidential submissions from Snowy Hydro. The data below reflects interpretation of public domain data, and may not match precisely with the confidential data. https://www.snowyhydro.com.au/our-energy/water/inflows/</t>
  </si>
  <si>
    <t>Blowering, Eucumbene and Guthega</t>
  </si>
  <si>
    <t>Reference Year (FYE)</t>
  </si>
  <si>
    <t>Jul</t>
  </si>
  <si>
    <t>Aug</t>
  </si>
  <si>
    <t>Sep</t>
  </si>
  <si>
    <t>Oct</t>
  </si>
  <si>
    <t>Nov</t>
  </si>
  <si>
    <t>Dec</t>
  </si>
  <si>
    <t>Jan</t>
  </si>
  <si>
    <t>Feb</t>
  </si>
  <si>
    <t>Mar</t>
  </si>
  <si>
    <t>Apr</t>
  </si>
  <si>
    <t>May</t>
  </si>
  <si>
    <t>Jun</t>
  </si>
  <si>
    <t>Annual Total</t>
  </si>
  <si>
    <t>Dry</t>
  </si>
  <si>
    <t>Avg</t>
  </si>
  <si>
    <t>Min</t>
  </si>
  <si>
    <t>Max</t>
  </si>
  <si>
    <t>The following generators are part of snowy:</t>
  </si>
  <si>
    <t>Name</t>
  </si>
  <si>
    <t>bus_id</t>
  </si>
  <si>
    <t>Type</t>
  </si>
  <si>
    <t>PS</t>
  </si>
  <si>
    <t>TUMUT3</t>
  </si>
  <si>
    <t>Capacity (MW)</t>
  </si>
  <si>
    <t>state</t>
  </si>
  <si>
    <t>NSW</t>
  </si>
  <si>
    <t>BLOWERNG</t>
  </si>
  <si>
    <t>Hydro</t>
  </si>
  <si>
    <t>UPPTUMUT</t>
  </si>
  <si>
    <t>GUTHEGA</t>
  </si>
  <si>
    <t>MURRAY1</t>
  </si>
  <si>
    <t>MURRAY2</t>
  </si>
  <si>
    <t>VIC</t>
  </si>
  <si>
    <t>% of total capacity</t>
  </si>
  <si>
    <t xml:space="preserve">Can calculate inflows for each plant by multiplying it by the % of total snowy capacity it makes up. </t>
  </si>
  <si>
    <t>Inflows are given in monthly granularity, can assume this is spread evenly throughout each day.</t>
  </si>
  <si>
    <t>There are three main dams: Hume, Dartmouth and Eildon. Generators in both VIC and NSW use these dams.</t>
  </si>
  <si>
    <t>Queensland and Victoria schemes</t>
  </si>
  <si>
    <t>Queensland and Victorian schemes will be based on long term historical inflows.</t>
  </si>
  <si>
    <t>Kuranda Weir</t>
  </si>
  <si>
    <t>qld</t>
  </si>
  <si>
    <t>Koombooloomba Dam</t>
  </si>
  <si>
    <t>Hume</t>
  </si>
  <si>
    <t>vic</t>
  </si>
  <si>
    <t>Dartmouth</t>
  </si>
  <si>
    <t>Eildon</t>
  </si>
  <si>
    <t>Reference years for inflows are given in the table on the right.</t>
  </si>
  <si>
    <t>The following generators are part of the Victoria scheme:</t>
  </si>
  <si>
    <t>DARTM1</t>
  </si>
  <si>
    <t>EILDON1</t>
  </si>
  <si>
    <t>HUMEV</t>
  </si>
  <si>
    <t>HUMENSW</t>
  </si>
  <si>
    <t>TBD:</t>
  </si>
  <si>
    <t>Has an annual average energy generation of 404GWh - https://www.agl.com.au/about-agl/how-we-source-energy/hydroelectric-power-stations?zcf97o=vlx3ap</t>
  </si>
  <si>
    <t>Worth noting that this source has different figures for the annual energy at dartmouth and eildon (both lower than the AEMO inflows)</t>
  </si>
  <si>
    <t>Bogong, Mckay and West Kiewa are all grouped together in VIC, but no inflow information available from AEMO</t>
  </si>
  <si>
    <t>Shoalhaven pumped hydro NSW - no information on inflows.</t>
  </si>
  <si>
    <t xml:space="preserve">My guess is none - since it's just two connected man-made dams. </t>
  </si>
  <si>
    <t>Queensland Schemes:</t>
  </si>
  <si>
    <t>Victoria Schemes:</t>
  </si>
  <si>
    <t>hrs of generation per year (assuming full capacity):</t>
  </si>
  <si>
    <t>Maybe giving the weighted % to TUMUT3 PS isn't accurate as it will get some inflows through pumping? Or could be fine</t>
  </si>
  <si>
    <t>BARRON-1</t>
  </si>
  <si>
    <t>KAREEYA1</t>
  </si>
  <si>
    <t>QLD</t>
  </si>
  <si>
    <t>associated dam</t>
  </si>
  <si>
    <t xml:space="preserve">Wivenhoe is the PS in QLD, looks to be a no inflow situation, just a big battery. </t>
  </si>
  <si>
    <t>Tasmania Schemes:</t>
  </si>
  <si>
    <t>Tasmania</t>
  </si>
  <si>
    <t>The Tasmanian schemes will consider the influence of specific historical reference years.</t>
  </si>
  <si>
    <t>Peak</t>
  </si>
  <si>
    <t>BASTYAN</t>
  </si>
  <si>
    <t>LI_WY_CA</t>
  </si>
  <si>
    <t>CETHANA</t>
  </si>
  <si>
    <t>DEVILS_G</t>
  </si>
  <si>
    <t>FISHER</t>
  </si>
  <si>
    <t>GORDON</t>
  </si>
  <si>
    <t>JBUTTERS</t>
  </si>
  <si>
    <t>LK_ECHO</t>
  </si>
  <si>
    <t>LEM_WIL</t>
  </si>
  <si>
    <t>MACKNTSH</t>
  </si>
  <si>
    <t>MEADOWBK</t>
  </si>
  <si>
    <t>POAT110</t>
  </si>
  <si>
    <t>REECE1</t>
  </si>
  <si>
    <t>TARRALEA</t>
  </si>
  <si>
    <t>TREVALLN</t>
  </si>
  <si>
    <t>TRIBUTE</t>
  </si>
  <si>
    <t>TUNGATIN</t>
  </si>
  <si>
    <t>TAS</t>
  </si>
  <si>
    <t xml:space="preserve">Can calculate inflows for each plant by multiplying it by the % of total it makes up. </t>
  </si>
  <si>
    <t>The annual output was based on the commissioning date, it may have gone higher since this. I will just use the given amount of 404GWh as there's nothing else to go off</t>
  </si>
  <si>
    <t>MCKAY1</t>
  </si>
  <si>
    <t>WKIEWA1</t>
  </si>
  <si>
    <t>Can split this by following the trend shape of the hume/dartmouth/eildon inflows but scale for the correct annual output - they all have similar shapes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</si>
</sst>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 #,##0_-;_-* &quot;-&quot;??_-;_-@_-"/>
    <numFmt numFmtId="165" formatCode="_-* #,##0.0_-;\-* #,##0.0_-;_-* &quot;-&quot;??_-;_-@_-"/>
    <numFmt numFmtId="166" formatCode="0.000%"/>
    <numFmt numFmtId="167" formatCode="0.0000%"/>
  </numFmts>
  <fonts count="9" x14ac:knownFonts="1">
    <font>
      <sz val="12"/>
      <color theme="1"/>
      <name val="Aptos Narrow"/>
      <family val="2"/>
      <scheme val="minor"/>
    </font>
    <font>
      <sz val="12"/>
      <color theme="1"/>
      <name val="Aptos Narrow"/>
      <family val="2"/>
      <scheme val="minor"/>
    </font>
    <font>
      <b/>
      <sz val="13"/>
      <color theme="3"/>
      <name val="Aptos Narrow"/>
      <family val="2"/>
      <scheme val="minor"/>
    </font>
    <font>
      <sz val="12"/>
      <color theme="0"/>
      <name val="Aptos Narrow"/>
      <family val="2"/>
      <scheme val="minor"/>
    </font>
    <font>
      <b/>
      <sz val="12"/>
      <color theme="1"/>
      <name val="Aptos Narrow"/>
      <scheme val="minor"/>
    </font>
    <font>
      <sz val="10"/>
      <color theme="1"/>
      <name val="Arial"/>
      <family val="2"/>
    </font>
    <font>
      <b/>
      <sz val="11"/>
      <color theme="1"/>
      <name val="Aptos Narrow"/>
      <family val="2"/>
      <scheme val="minor"/>
    </font>
    <font>
      <sz val="10"/>
      <name val="Arial"/>
      <family val="2"/>
    </font>
    <font>
      <sz val="12"/>
      <color theme="1"/>
      <name val="Aptos Narrow"/>
      <scheme val="minor"/>
    </font>
  </fonts>
  <fills count="6">
    <fill>
      <patternFill patternType="none"/>
    </fill>
    <fill>
      <patternFill patternType="gray125"/>
    </fill>
    <fill>
      <patternFill patternType="solid">
        <fgColor theme="4"/>
      </patternFill>
    </fill>
    <fill>
      <patternFill patternType="solid">
        <fgColor theme="5"/>
      </patternFill>
    </fill>
    <fill>
      <patternFill patternType="solid">
        <fgColor theme="0" tint="-4.9989318521683403E-2"/>
        <bgColor indexed="64"/>
      </patternFill>
    </fill>
    <fill>
      <patternFill patternType="solid">
        <fgColor rgb="FFE9E7E2"/>
        <bgColor indexed="64"/>
      </patternFill>
    </fill>
  </fills>
  <borders count="3">
    <border>
      <left/>
      <right/>
      <top/>
      <bottom/>
      <diagonal/>
    </border>
    <border>
      <left/>
      <right/>
      <top/>
      <bottom style="thick">
        <color theme="4" tint="0.499984740745262"/>
      </bottom>
      <diagonal/>
    </border>
    <border>
      <left style="medium">
        <color theme="0"/>
      </left>
      <right style="medium">
        <color theme="0"/>
      </right>
      <top style="medium">
        <color theme="0"/>
      </top>
      <bottom style="medium">
        <color theme="0"/>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1" applyNumberFormat="0" applyFill="0" applyAlignment="0" applyProtection="0"/>
    <xf numFmtId="0" fontId="3" fillId="2" borderId="0" applyNumberFormat="0" applyBorder="0" applyAlignment="0" applyProtection="0"/>
    <xf numFmtId="0" fontId="3" fillId="3" borderId="0" applyNumberFormat="0" applyBorder="0" applyAlignment="0" applyProtection="0"/>
  </cellStyleXfs>
  <cellXfs count="22">
    <xf numFmtId="0" fontId="0" fillId="0" borderId="0" xfId="0"/>
    <xf numFmtId="0" fontId="4" fillId="0" borderId="0" xfId="0" applyFont="1"/>
    <xf numFmtId="0" fontId="2" fillId="4" borderId="1" xfId="3" applyFill="1" applyAlignment="1">
      <alignment horizontal="left"/>
    </xf>
    <xf numFmtId="0" fontId="0" fillId="4" borderId="0" xfId="0" applyFill="1"/>
    <xf numFmtId="0" fontId="6" fillId="4" borderId="0" xfId="0" applyFont="1" applyFill="1"/>
    <xf numFmtId="0" fontId="3" fillId="2" borderId="2" xfId="4" applyBorder="1" applyAlignment="1">
      <alignment horizontal="center" vertical="center" wrapText="1"/>
    </xf>
    <xf numFmtId="0" fontId="3" fillId="3" borderId="2" xfId="5" applyBorder="1" applyAlignment="1">
      <alignment horizontal="left"/>
    </xf>
    <xf numFmtId="164" fontId="7" fillId="0" borderId="2" xfId="1" applyNumberFormat="1" applyFont="1" applyBorder="1" applyAlignment="1">
      <alignment horizontal="center"/>
    </xf>
    <xf numFmtId="164" fontId="0" fillId="4" borderId="0" xfId="0" applyNumberFormat="1" applyFill="1"/>
    <xf numFmtId="164" fontId="7" fillId="5" borderId="2" xfId="1" applyNumberFormat="1" applyFont="1" applyFill="1" applyBorder="1" applyAlignment="1">
      <alignment horizontal="center"/>
    </xf>
    <xf numFmtId="9" fontId="0" fillId="0" borderId="0" xfId="2" applyFont="1"/>
    <xf numFmtId="10" fontId="0" fillId="0" borderId="0" xfId="2" applyNumberFormat="1" applyFont="1"/>
    <xf numFmtId="0" fontId="8" fillId="0" borderId="0" xfId="0" applyFont="1"/>
    <xf numFmtId="0" fontId="5" fillId="4" borderId="0" xfId="0" applyFont="1" applyFill="1"/>
    <xf numFmtId="165" fontId="7" fillId="5" borderId="2" xfId="1" applyNumberFormat="1" applyFont="1" applyFill="1" applyBorder="1" applyAlignment="1">
      <alignment horizontal="center"/>
    </xf>
    <xf numFmtId="165" fontId="7" fillId="0" borderId="2" xfId="1" applyNumberFormat="1" applyFont="1" applyBorder="1" applyAlignment="1">
      <alignment horizontal="center"/>
    </xf>
    <xf numFmtId="0" fontId="3" fillId="3" borderId="0" xfId="5" applyBorder="1" applyAlignment="1">
      <alignment horizontal="left"/>
    </xf>
    <xf numFmtId="164" fontId="0" fillId="0" borderId="0" xfId="0" applyNumberFormat="1"/>
    <xf numFmtId="43" fontId="0" fillId="0" borderId="0" xfId="0" applyNumberFormat="1"/>
    <xf numFmtId="166" fontId="0" fillId="0" borderId="0" xfId="2" applyNumberFormat="1" applyFont="1"/>
    <xf numFmtId="167" fontId="0" fillId="0" borderId="0" xfId="2" applyNumberFormat="1" applyFont="1"/>
    <xf numFmtId="0" fontId="5" fillId="4" borderId="0" xfId="0" applyFont="1" applyFill="1" applyAlignment="1">
      <alignment horizontal="left" wrapText="1"/>
    </xf>
  </cellXfs>
  <cellStyles count="6">
    <cellStyle name="Accent1" xfId="4" builtinId="29"/>
    <cellStyle name="Accent2" xfId="5" builtinId="33"/>
    <cellStyle name="Comma" xfId="1" builtinId="3"/>
    <cellStyle name="Heading 2" xfId="3" builtinId="17"/>
    <cellStyle name="Normal" xfId="0" builtinId="0"/>
    <cellStyle name="Per 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8</xdr:col>
      <xdr:colOff>190502</xdr:colOff>
      <xdr:row>0</xdr:row>
      <xdr:rowOff>152400</xdr:rowOff>
    </xdr:from>
    <xdr:to>
      <xdr:col>12</xdr:col>
      <xdr:colOff>71578</xdr:colOff>
      <xdr:row>20</xdr:row>
      <xdr:rowOff>63500</xdr:rowOff>
    </xdr:to>
    <xdr:pic>
      <xdr:nvPicPr>
        <xdr:cNvPr id="2" name="Picture 1">
          <a:extLst>
            <a:ext uri="{FF2B5EF4-FFF2-40B4-BE49-F238E27FC236}">
              <a16:creationId xmlns:a16="http://schemas.microsoft.com/office/drawing/2014/main" id="{54A77CA3-B07D-DDAA-EAF0-66A322AB3F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94502" y="152400"/>
          <a:ext cx="3183076" cy="4457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4168B-9062-C549-9C68-3A190F94F052}">
  <dimension ref="A1:AD76"/>
  <sheetViews>
    <sheetView tabSelected="1" topLeftCell="I1" zoomScale="80" workbookViewId="0">
      <selection activeCell="M27" sqref="M27"/>
    </sheetView>
  </sheetViews>
  <sheetFormatPr baseColWidth="10" defaultRowHeight="16" x14ac:dyDescent="0.2"/>
  <cols>
    <col min="14" max="14" width="20.33203125" customWidth="1"/>
  </cols>
  <sheetData>
    <row r="1" spans="1:30" x14ac:dyDescent="0.2">
      <c r="A1" s="1" t="s">
        <v>0</v>
      </c>
    </row>
    <row r="3" spans="1:30" ht="19" thickBot="1" x14ac:dyDescent="0.3">
      <c r="A3" s="1" t="s">
        <v>1</v>
      </c>
      <c r="C3" t="s">
        <v>2</v>
      </c>
      <c r="N3" s="2" t="s">
        <v>4</v>
      </c>
      <c r="O3" s="3"/>
      <c r="P3" s="3"/>
      <c r="Q3" s="3"/>
      <c r="R3" s="3"/>
      <c r="S3" s="3"/>
      <c r="T3" s="3"/>
      <c r="U3" s="3"/>
      <c r="V3" s="3"/>
      <c r="W3" s="3"/>
      <c r="X3" s="3"/>
      <c r="Y3" s="3"/>
      <c r="Z3" s="3"/>
      <c r="AA3" s="3"/>
      <c r="AB3" s="3"/>
      <c r="AC3" s="3"/>
      <c r="AD3" s="3"/>
    </row>
    <row r="4" spans="1:30" ht="17" thickTop="1" x14ac:dyDescent="0.2">
      <c r="A4" t="s">
        <v>3</v>
      </c>
      <c r="N4" s="21" t="s">
        <v>5</v>
      </c>
      <c r="O4" s="21"/>
      <c r="P4" s="21"/>
      <c r="Q4" s="21"/>
      <c r="R4" s="21"/>
      <c r="S4" s="21"/>
      <c r="T4" s="21"/>
      <c r="U4" s="21"/>
      <c r="V4" s="21"/>
      <c r="W4" s="21"/>
      <c r="X4" s="21"/>
      <c r="Y4" s="21"/>
      <c r="Z4" s="21"/>
      <c r="AA4" s="21"/>
      <c r="AB4" s="21"/>
      <c r="AC4" s="21"/>
      <c r="AD4" s="21"/>
    </row>
    <row r="5" spans="1:30" ht="17" thickBot="1" x14ac:dyDescent="0.25">
      <c r="A5" t="s">
        <v>54</v>
      </c>
      <c r="N5" s="4" t="s">
        <v>6</v>
      </c>
      <c r="O5" s="3"/>
      <c r="P5" s="3"/>
      <c r="Q5" s="3"/>
      <c r="R5" s="3"/>
      <c r="S5" s="3"/>
      <c r="T5" s="3"/>
      <c r="U5" s="3"/>
      <c r="V5" s="3"/>
      <c r="W5" s="3"/>
      <c r="X5" s="3"/>
      <c r="Y5" s="3"/>
      <c r="Z5" s="3"/>
      <c r="AA5" s="3"/>
      <c r="AB5" s="3"/>
      <c r="AC5" s="3"/>
      <c r="AD5" s="3"/>
    </row>
    <row r="6" spans="1:30" ht="35" thickBot="1" x14ac:dyDescent="0.25">
      <c r="N6" s="5" t="s">
        <v>7</v>
      </c>
      <c r="O6" s="5" t="s">
        <v>8</v>
      </c>
      <c r="P6" s="5" t="s">
        <v>9</v>
      </c>
      <c r="Q6" s="5" t="s">
        <v>10</v>
      </c>
      <c r="R6" s="5" t="s">
        <v>11</v>
      </c>
      <c r="S6" s="5" t="s">
        <v>12</v>
      </c>
      <c r="T6" s="5" t="s">
        <v>13</v>
      </c>
      <c r="U6" s="5" t="s">
        <v>14</v>
      </c>
      <c r="V6" s="5" t="s">
        <v>15</v>
      </c>
      <c r="W6" s="5" t="s">
        <v>16</v>
      </c>
      <c r="X6" s="5" t="s">
        <v>17</v>
      </c>
      <c r="Y6" s="5" t="s">
        <v>18</v>
      </c>
      <c r="Z6" s="5" t="s">
        <v>19</v>
      </c>
      <c r="AA6" s="5" t="s">
        <v>20</v>
      </c>
      <c r="AB6" s="3"/>
      <c r="AC6" s="3"/>
      <c r="AD6" s="3"/>
    </row>
    <row r="7" spans="1:30" ht="17" thickBot="1" x14ac:dyDescent="0.25">
      <c r="A7" t="s">
        <v>25</v>
      </c>
      <c r="N7" s="6">
        <v>2011</v>
      </c>
      <c r="O7" s="7">
        <v>865.69128497143299</v>
      </c>
      <c r="P7" s="7">
        <v>527.61070603903249</v>
      </c>
      <c r="Q7" s="7">
        <v>566.5133629355729</v>
      </c>
      <c r="R7" s="7">
        <v>663.15029019987037</v>
      </c>
      <c r="S7" s="7">
        <v>347.26903560929054</v>
      </c>
      <c r="T7" s="7">
        <v>485.62166509172101</v>
      </c>
      <c r="U7" s="7">
        <v>380.48385292420488</v>
      </c>
      <c r="V7" s="7">
        <v>375.39918807833027</v>
      </c>
      <c r="W7" s="7">
        <v>113.09736349404388</v>
      </c>
      <c r="X7" s="7">
        <v>371.66236563623073</v>
      </c>
      <c r="Y7" s="7">
        <v>498.06001725917889</v>
      </c>
      <c r="Z7" s="7">
        <v>861.19385235954439</v>
      </c>
      <c r="AA7" s="7">
        <v>6055.7529845984527</v>
      </c>
      <c r="AB7" s="8">
        <f>SUM(AA7:AA20)/13</f>
        <v>4047.4181362943546</v>
      </c>
      <c r="AC7" s="3" t="s">
        <v>22</v>
      </c>
      <c r="AD7" s="3"/>
    </row>
    <row r="8" spans="1:30" ht="17" thickBot="1" x14ac:dyDescent="0.25">
      <c r="A8" t="s">
        <v>26</v>
      </c>
      <c r="B8" t="s">
        <v>28</v>
      </c>
      <c r="C8" t="s">
        <v>31</v>
      </c>
      <c r="D8" t="s">
        <v>27</v>
      </c>
      <c r="E8" t="s">
        <v>32</v>
      </c>
      <c r="F8" t="s">
        <v>41</v>
      </c>
      <c r="N8" s="6">
        <v>2012</v>
      </c>
      <c r="O8" s="9">
        <v>682.05105162500729</v>
      </c>
      <c r="P8" s="9">
        <v>421.48047324820726</v>
      </c>
      <c r="Q8" s="9">
        <v>446.64437666695346</v>
      </c>
      <c r="R8" s="9">
        <v>504.71289871639306</v>
      </c>
      <c r="S8" s="9">
        <v>244.14620287568272</v>
      </c>
      <c r="T8" s="9">
        <v>340.1258741576433</v>
      </c>
      <c r="U8" s="9">
        <v>300.05296764955375</v>
      </c>
      <c r="V8" s="9">
        <v>294.29766364394982</v>
      </c>
      <c r="W8" s="9">
        <v>88.485400653596713</v>
      </c>
      <c r="X8" s="9">
        <v>290.87073798399234</v>
      </c>
      <c r="Y8" s="9">
        <v>391.58195965201259</v>
      </c>
      <c r="Z8" s="9">
        <v>677.17473214375457</v>
      </c>
      <c r="AA8" s="9">
        <v>4681.6243390167474</v>
      </c>
      <c r="AB8" s="8">
        <f>MIN(AA7:AA20)</f>
        <v>1134.4550446081537</v>
      </c>
      <c r="AC8" s="3" t="s">
        <v>23</v>
      </c>
      <c r="AD8" s="3"/>
    </row>
    <row r="9" spans="1:30" ht="17" thickBot="1" x14ac:dyDescent="0.25">
      <c r="A9" t="s">
        <v>30</v>
      </c>
      <c r="B9" t="s">
        <v>29</v>
      </c>
      <c r="C9">
        <v>1800</v>
      </c>
      <c r="D9">
        <v>8</v>
      </c>
      <c r="E9" t="s">
        <v>33</v>
      </c>
      <c r="F9" s="11">
        <f>$C9/SUM($C$9:$C$14)</f>
        <v>0.44356826022671264</v>
      </c>
      <c r="H9" s="18"/>
      <c r="N9" s="6">
        <v>2013</v>
      </c>
      <c r="O9" s="7">
        <v>549.79865806312887</v>
      </c>
      <c r="P9" s="7">
        <v>331.75232177460265</v>
      </c>
      <c r="Q9" s="7">
        <v>348.09470000849734</v>
      </c>
      <c r="R9" s="7">
        <v>386.67473670181255</v>
      </c>
      <c r="S9" s="7">
        <v>181.59822455804596</v>
      </c>
      <c r="T9" s="7">
        <v>270.4207882648987</v>
      </c>
      <c r="U9" s="7">
        <v>241.48245007097077</v>
      </c>
      <c r="V9" s="7">
        <v>239.25943340944841</v>
      </c>
      <c r="W9" s="7">
        <v>72.184809894048286</v>
      </c>
      <c r="X9" s="7">
        <v>237.16391190404207</v>
      </c>
      <c r="Y9" s="7">
        <v>316.79079483526687</v>
      </c>
      <c r="Z9" s="7">
        <v>547.7091056377659</v>
      </c>
      <c r="AA9" s="7">
        <v>3722.9299351225277</v>
      </c>
      <c r="AB9" s="8">
        <f>MAX(AA7:AA20)</f>
        <v>6055.7529845984527</v>
      </c>
      <c r="AC9" s="3" t="s">
        <v>24</v>
      </c>
      <c r="AD9" s="3"/>
    </row>
    <row r="10" spans="1:30" ht="17" thickBot="1" x14ac:dyDescent="0.25">
      <c r="A10" t="s">
        <v>34</v>
      </c>
      <c r="B10" t="s">
        <v>35</v>
      </c>
      <c r="C10">
        <v>80</v>
      </c>
      <c r="D10">
        <v>8</v>
      </c>
      <c r="E10" t="s">
        <v>33</v>
      </c>
      <c r="F10" s="11">
        <f t="shared" ref="F10:F14" si="0">$C10/SUM($C$9:$C$14)</f>
        <v>1.9714144898965006E-2</v>
      </c>
      <c r="H10" s="18"/>
      <c r="N10" s="6">
        <v>2014</v>
      </c>
      <c r="O10" s="9">
        <v>512.95281925130769</v>
      </c>
      <c r="P10" s="9">
        <v>324.32047239476077</v>
      </c>
      <c r="Q10" s="9">
        <v>357.63852193351761</v>
      </c>
      <c r="R10" s="9">
        <v>439.90522344943594</v>
      </c>
      <c r="S10" s="9">
        <v>249.8547116192677</v>
      </c>
      <c r="T10" s="9">
        <v>317.6532026848671</v>
      </c>
      <c r="U10" s="9">
        <v>226.01872236886197</v>
      </c>
      <c r="V10" s="9">
        <v>219.47494671150872</v>
      </c>
      <c r="W10" s="9">
        <v>65.761763444291375</v>
      </c>
      <c r="X10" s="9">
        <v>216.28619826427607</v>
      </c>
      <c r="Y10" s="9">
        <v>293.45511235768123</v>
      </c>
      <c r="Z10" s="9">
        <v>507.59736067520089</v>
      </c>
      <c r="AA10" s="9">
        <v>3730.9190551549768</v>
      </c>
      <c r="AB10" s="3"/>
      <c r="AC10" s="3"/>
      <c r="AD10" s="3"/>
    </row>
    <row r="11" spans="1:30" ht="17" thickBot="1" x14ac:dyDescent="0.25">
      <c r="A11" t="s">
        <v>36</v>
      </c>
      <c r="B11" t="s">
        <v>35</v>
      </c>
      <c r="C11">
        <v>616</v>
      </c>
      <c r="D11">
        <v>8</v>
      </c>
      <c r="E11" t="s">
        <v>33</v>
      </c>
      <c r="F11" s="11">
        <f t="shared" si="0"/>
        <v>0.15179891572203055</v>
      </c>
      <c r="H11" s="18"/>
      <c r="N11" s="6">
        <v>2015</v>
      </c>
      <c r="O11" s="7">
        <v>475.34101921707094</v>
      </c>
      <c r="P11" s="7">
        <v>282.59334713023827</v>
      </c>
      <c r="Q11" s="7">
        <v>295.94489105073063</v>
      </c>
      <c r="R11" s="7">
        <v>328.71365247461011</v>
      </c>
      <c r="S11" s="7">
        <v>155.30443373496283</v>
      </c>
      <c r="T11" s="7">
        <v>238.89559254229084</v>
      </c>
      <c r="U11" s="7">
        <v>208.57346694688547</v>
      </c>
      <c r="V11" s="7">
        <v>207.92912155675262</v>
      </c>
      <c r="W11" s="7">
        <v>62.86220676346084</v>
      </c>
      <c r="X11" s="7">
        <v>206.47001622694256</v>
      </c>
      <c r="Y11" s="7">
        <v>274.49051410075776</v>
      </c>
      <c r="Z11" s="7">
        <v>474.50799130091428</v>
      </c>
      <c r="AA11" s="7">
        <v>3211.6262530456174</v>
      </c>
      <c r="AB11" s="3"/>
      <c r="AC11" s="3"/>
      <c r="AD11" s="3"/>
    </row>
    <row r="12" spans="1:30" ht="17" thickBot="1" x14ac:dyDescent="0.25">
      <c r="A12" t="s">
        <v>37</v>
      </c>
      <c r="B12" t="s">
        <v>35</v>
      </c>
      <c r="C12">
        <v>60</v>
      </c>
      <c r="D12">
        <v>8</v>
      </c>
      <c r="E12" t="s">
        <v>33</v>
      </c>
      <c r="F12" s="11">
        <f t="shared" si="0"/>
        <v>1.4785608674223755E-2</v>
      </c>
      <c r="H12" s="18"/>
      <c r="N12" s="6">
        <v>2016</v>
      </c>
      <c r="O12" s="9">
        <v>665.07739721544885</v>
      </c>
      <c r="P12" s="9">
        <v>393.53515747440417</v>
      </c>
      <c r="Q12" s="9">
        <v>408.67384801155032</v>
      </c>
      <c r="R12" s="9">
        <v>445.04440214438824</v>
      </c>
      <c r="S12" s="9">
        <v>201.01914146314962</v>
      </c>
      <c r="T12" s="9">
        <v>319.14508785535452</v>
      </c>
      <c r="U12" s="9">
        <v>291.7369965639013</v>
      </c>
      <c r="V12" s="9">
        <v>291.39645566467595</v>
      </c>
      <c r="W12" s="9">
        <v>88.153176653368988</v>
      </c>
      <c r="X12" s="9">
        <v>289.50977406285449</v>
      </c>
      <c r="Y12" s="9">
        <v>384.31995937976262</v>
      </c>
      <c r="Z12" s="9">
        <v>664.33934155433349</v>
      </c>
      <c r="AA12" s="9">
        <v>4441.9507380431924</v>
      </c>
      <c r="AB12" s="3"/>
      <c r="AC12" s="3"/>
      <c r="AD12" s="3"/>
    </row>
    <row r="13" spans="1:30" ht="17" thickBot="1" x14ac:dyDescent="0.25">
      <c r="A13" t="s">
        <v>38</v>
      </c>
      <c r="B13" t="s">
        <v>35</v>
      </c>
      <c r="C13">
        <v>950</v>
      </c>
      <c r="D13">
        <v>9</v>
      </c>
      <c r="E13" t="s">
        <v>40</v>
      </c>
      <c r="F13" s="11">
        <f t="shared" si="0"/>
        <v>0.23410547067520945</v>
      </c>
      <c r="H13" s="18"/>
      <c r="N13" s="6">
        <v>2017</v>
      </c>
      <c r="O13" s="7">
        <v>670.39068456520943</v>
      </c>
      <c r="P13" s="7">
        <v>413.23410985146933</v>
      </c>
      <c r="Q13" s="7">
        <v>441.06533886302105</v>
      </c>
      <c r="R13" s="7">
        <v>507.47108368813269</v>
      </c>
      <c r="S13" s="7">
        <v>255.51083563036693</v>
      </c>
      <c r="T13" s="7">
        <v>353.38787969526538</v>
      </c>
      <c r="U13" s="7">
        <v>294.87264830050339</v>
      </c>
      <c r="V13" s="7">
        <v>289.53001903080735</v>
      </c>
      <c r="W13" s="7">
        <v>87.084128751922449</v>
      </c>
      <c r="X13" s="7">
        <v>286.24842302119663</v>
      </c>
      <c r="Y13" s="7">
        <v>385.03549385834424</v>
      </c>
      <c r="Z13" s="7">
        <v>665.8372136306981</v>
      </c>
      <c r="AA13" s="7">
        <v>4649.6678588869363</v>
      </c>
      <c r="AB13" s="3"/>
      <c r="AC13" s="3"/>
      <c r="AD13" s="3"/>
    </row>
    <row r="14" spans="1:30" ht="17" thickBot="1" x14ac:dyDescent="0.25">
      <c r="A14" t="s">
        <v>39</v>
      </c>
      <c r="B14" t="s">
        <v>35</v>
      </c>
      <c r="C14">
        <v>552</v>
      </c>
      <c r="D14">
        <v>9</v>
      </c>
      <c r="E14" t="s">
        <v>40</v>
      </c>
      <c r="F14" s="11">
        <f t="shared" si="0"/>
        <v>0.13602759980285856</v>
      </c>
      <c r="H14" s="18"/>
      <c r="N14" s="6">
        <v>2018</v>
      </c>
      <c r="O14" s="9">
        <v>640.19747864680539</v>
      </c>
      <c r="P14" s="9">
        <v>383.81156292271424</v>
      </c>
      <c r="Q14" s="9">
        <v>401.08275851270724</v>
      </c>
      <c r="R14" s="9">
        <v>441.91370382283981</v>
      </c>
      <c r="S14" s="9">
        <v>204.14507529069974</v>
      </c>
      <c r="T14" s="9">
        <v>310.83142159012851</v>
      </c>
      <c r="U14" s="9">
        <v>281.06642256388739</v>
      </c>
      <c r="V14" s="9">
        <v>279.22924316561233</v>
      </c>
      <c r="W14" s="9">
        <v>84.320065316639415</v>
      </c>
      <c r="X14" s="9">
        <v>276.99654736422912</v>
      </c>
      <c r="Y14" s="9">
        <v>369.23196895719695</v>
      </c>
      <c r="Z14" s="9">
        <v>638.33688684653907</v>
      </c>
      <c r="AA14" s="9">
        <v>4311.1631349999998</v>
      </c>
      <c r="AB14" s="3"/>
      <c r="AC14" s="3"/>
      <c r="AD14" s="3"/>
    </row>
    <row r="15" spans="1:30" ht="17" thickBot="1" x14ac:dyDescent="0.25">
      <c r="N15" s="6">
        <v>2019</v>
      </c>
      <c r="O15" s="7">
        <v>482.19816237756038</v>
      </c>
      <c r="P15" s="7">
        <v>289.08772138838179</v>
      </c>
      <c r="Q15" s="7">
        <v>302.09642425481826</v>
      </c>
      <c r="R15" s="7">
        <v>332.85038292129201</v>
      </c>
      <c r="S15" s="7">
        <v>153.76252398193563</v>
      </c>
      <c r="T15" s="7">
        <v>234.11891689541355</v>
      </c>
      <c r="U15" s="7">
        <v>211.69985354021151</v>
      </c>
      <c r="V15" s="7">
        <v>210.31608593825428</v>
      </c>
      <c r="W15" s="7">
        <v>63.510060416327882</v>
      </c>
      <c r="X15" s="7">
        <v>208.63441450329219</v>
      </c>
      <c r="Y15" s="7">
        <v>278.10633884179111</v>
      </c>
      <c r="Z15" s="7">
        <v>480.79676050243967</v>
      </c>
      <c r="AA15" s="7">
        <v>3247.1776455617187</v>
      </c>
      <c r="AB15" s="3"/>
      <c r="AC15" s="3"/>
      <c r="AD15" s="3"/>
    </row>
    <row r="16" spans="1:30" ht="17" thickBot="1" x14ac:dyDescent="0.25">
      <c r="A16" t="s">
        <v>42</v>
      </c>
      <c r="N16" s="6">
        <v>2020</v>
      </c>
      <c r="O16" s="9">
        <v>555.07508376195904</v>
      </c>
      <c r="P16" s="9">
        <v>332.77893547542345</v>
      </c>
      <c r="Q16" s="9">
        <v>347.75370600880382</v>
      </c>
      <c r="R16" s="9">
        <v>383.15565797526182</v>
      </c>
      <c r="S16" s="9">
        <v>177.00139183005524</v>
      </c>
      <c r="T16" s="9">
        <v>269.50243187411274</v>
      </c>
      <c r="U16" s="9">
        <v>243.69506792980633</v>
      </c>
      <c r="V16" s="9">
        <v>242.10216489223302</v>
      </c>
      <c r="W16" s="9">
        <v>73.108640504766896</v>
      </c>
      <c r="X16" s="9">
        <v>240.16633438632829</v>
      </c>
      <c r="Y16" s="9">
        <v>320.13788390688137</v>
      </c>
      <c r="Z16" s="9">
        <v>553.46188129892744</v>
      </c>
      <c r="AA16" s="9">
        <v>3737.9391798445599</v>
      </c>
      <c r="AB16" s="3"/>
      <c r="AC16" s="3"/>
      <c r="AD16" s="3"/>
    </row>
    <row r="17" spans="1:30" ht="17" thickBot="1" x14ac:dyDescent="0.25">
      <c r="A17" t="s">
        <v>43</v>
      </c>
      <c r="N17" s="6">
        <v>2021</v>
      </c>
      <c r="O17" s="7">
        <v>621.09176944515525</v>
      </c>
      <c r="P17" s="7">
        <v>372.35729708441062</v>
      </c>
      <c r="Q17" s="7">
        <v>389.11306040309159</v>
      </c>
      <c r="R17" s="7">
        <v>428.72546894364353</v>
      </c>
      <c r="S17" s="7">
        <v>198.05267946980828</v>
      </c>
      <c r="T17" s="7">
        <v>301.55513583500641</v>
      </c>
      <c r="U17" s="7">
        <v>272.67842742962927</v>
      </c>
      <c r="V17" s="7">
        <v>270.89607582512951</v>
      </c>
      <c r="W17" s="7">
        <v>81.803662641625706</v>
      </c>
      <c r="X17" s="7">
        <v>268.73001139631447</v>
      </c>
      <c r="Y17" s="7">
        <v>358.2128086790903</v>
      </c>
      <c r="Z17" s="7">
        <v>619.28670414579619</v>
      </c>
      <c r="AA17" s="7">
        <v>4182.5031012987001</v>
      </c>
      <c r="AB17" s="3"/>
      <c r="AC17" s="3"/>
      <c r="AD17" s="3"/>
    </row>
    <row r="18" spans="1:30" ht="17" thickBot="1" x14ac:dyDescent="0.25">
      <c r="A18" t="s">
        <v>69</v>
      </c>
      <c r="N18" s="6">
        <v>2022</v>
      </c>
      <c r="O18" s="9">
        <v>818.03279218938201</v>
      </c>
      <c r="P18" s="9">
        <v>490.42749302275058</v>
      </c>
      <c r="Q18" s="9">
        <v>512.49631525990526</v>
      </c>
      <c r="R18" s="9">
        <v>564.66936078701337</v>
      </c>
      <c r="S18" s="9">
        <v>260.85289542962198</v>
      </c>
      <c r="T18" s="9">
        <v>397.17478463211484</v>
      </c>
      <c r="U18" s="9">
        <v>359.1416056911159</v>
      </c>
      <c r="V18" s="9">
        <v>356.79409098971405</v>
      </c>
      <c r="W18" s="9">
        <v>107.7426587407973</v>
      </c>
      <c r="X18" s="9">
        <v>353.94119256159843</v>
      </c>
      <c r="Y18" s="9">
        <v>471.79795079804677</v>
      </c>
      <c r="Z18" s="9">
        <v>815.65536154296092</v>
      </c>
      <c r="AA18" s="9">
        <v>5508.7265016450201</v>
      </c>
      <c r="AB18" s="3"/>
      <c r="AC18" s="3"/>
      <c r="AD18" s="3"/>
    </row>
    <row r="19" spans="1:30" ht="17" thickBot="1" x14ac:dyDescent="0.25">
      <c r="N19" s="6"/>
      <c r="O19" s="9"/>
      <c r="P19" s="9"/>
      <c r="Q19" s="9"/>
      <c r="R19" s="9"/>
      <c r="S19" s="9"/>
      <c r="T19" s="9"/>
      <c r="U19" s="9"/>
      <c r="V19" s="9"/>
      <c r="W19" s="9"/>
      <c r="X19" s="9"/>
      <c r="Y19" s="9"/>
      <c r="Z19" s="9"/>
      <c r="AA19" s="9"/>
      <c r="AB19" s="3"/>
      <c r="AC19" s="3"/>
      <c r="AD19" s="3"/>
    </row>
    <row r="20" spans="1:30" ht="17" thickBot="1" x14ac:dyDescent="0.25">
      <c r="A20" s="1" t="s">
        <v>60</v>
      </c>
      <c r="N20" s="6" t="s">
        <v>21</v>
      </c>
      <c r="O20" s="7">
        <v>171.42762110465088</v>
      </c>
      <c r="P20" s="7">
        <v>99.924159483324345</v>
      </c>
      <c r="Q20" s="7">
        <v>103.02431010784055</v>
      </c>
      <c r="R20" s="7">
        <v>110.67980310452148</v>
      </c>
      <c r="S20" s="7">
        <v>48.663599242798519</v>
      </c>
      <c r="T20" s="7">
        <v>81.243024555027702</v>
      </c>
      <c r="U20" s="7">
        <v>75.123419042777257</v>
      </c>
      <c r="V20" s="7">
        <v>75.492198346180459</v>
      </c>
      <c r="W20" s="7">
        <v>22.883943791945597</v>
      </c>
      <c r="X20" s="7">
        <v>75.13190590178084</v>
      </c>
      <c r="Y20" s="7">
        <v>99.275781492444679</v>
      </c>
      <c r="Z20" s="7">
        <v>171.58527843486146</v>
      </c>
      <c r="AA20" s="7">
        <v>1134.4550446081537</v>
      </c>
      <c r="AB20" s="3"/>
      <c r="AC20" s="3"/>
      <c r="AD20" s="3"/>
    </row>
    <row r="21" spans="1:30" x14ac:dyDescent="0.2">
      <c r="A21" t="s">
        <v>64</v>
      </c>
    </row>
    <row r="22" spans="1:30" x14ac:dyDescent="0.2">
      <c r="A22" t="s">
        <v>65</v>
      </c>
      <c r="O22" s="17">
        <f>AVERAGE(O7:O18)</f>
        <v>628.1581834441223</v>
      </c>
      <c r="P22" s="17">
        <f t="shared" ref="P22:Z22" si="1">AVERAGE(P7:P18)</f>
        <v>380.249133150533</v>
      </c>
      <c r="Q22" s="17">
        <f t="shared" si="1"/>
        <v>401.42644199243085</v>
      </c>
      <c r="R22" s="17">
        <f t="shared" si="1"/>
        <v>452.24890515205772</v>
      </c>
      <c r="S22" s="17">
        <f t="shared" si="1"/>
        <v>219.04309595774063</v>
      </c>
      <c r="T22" s="17">
        <f t="shared" si="1"/>
        <v>319.86939842656801</v>
      </c>
      <c r="U22" s="17">
        <f t="shared" si="1"/>
        <v>275.95854016496094</v>
      </c>
      <c r="V22" s="17">
        <f t="shared" si="1"/>
        <v>273.05204074220137</v>
      </c>
      <c r="W22" s="17">
        <f t="shared" si="1"/>
        <v>82.342828106240816</v>
      </c>
      <c r="X22" s="17">
        <f t="shared" si="1"/>
        <v>270.55666060927479</v>
      </c>
      <c r="Y22" s="17">
        <f t="shared" si="1"/>
        <v>361.76840021883419</v>
      </c>
      <c r="Z22" s="17">
        <f t="shared" si="1"/>
        <v>625.49143263657299</v>
      </c>
    </row>
    <row r="24" spans="1:30" x14ac:dyDescent="0.2">
      <c r="A24" s="1" t="s">
        <v>67</v>
      </c>
    </row>
    <row r="25" spans="1:30" ht="19" thickBot="1" x14ac:dyDescent="0.3">
      <c r="A25" s="12" t="s">
        <v>44</v>
      </c>
      <c r="N25" s="2" t="s">
        <v>45</v>
      </c>
      <c r="O25" s="3"/>
      <c r="P25" s="3"/>
      <c r="Q25" s="3"/>
      <c r="R25" s="3"/>
      <c r="S25" s="3"/>
      <c r="T25" s="3"/>
      <c r="U25" s="3"/>
      <c r="V25" s="3"/>
      <c r="W25" s="3"/>
      <c r="X25" s="3"/>
      <c r="Y25" s="3"/>
      <c r="Z25" s="3"/>
      <c r="AA25" s="3"/>
      <c r="AB25" s="3"/>
    </row>
    <row r="26" spans="1:30" ht="18" thickTop="1" thickBot="1" x14ac:dyDescent="0.25">
      <c r="N26" s="13" t="s">
        <v>46</v>
      </c>
      <c r="O26" s="3"/>
      <c r="P26" s="3"/>
      <c r="Q26" s="3"/>
      <c r="R26" s="3"/>
      <c r="S26" s="3"/>
      <c r="T26" s="3"/>
      <c r="U26" s="3"/>
      <c r="V26" s="3"/>
      <c r="W26" s="3"/>
      <c r="X26" s="3"/>
      <c r="Y26" s="3"/>
      <c r="Z26" s="3"/>
      <c r="AA26" s="3"/>
      <c r="AB26" s="3"/>
    </row>
    <row r="27" spans="1:30" ht="35" thickBot="1" x14ac:dyDescent="0.25">
      <c r="N27" s="5"/>
      <c r="O27" s="5" t="s">
        <v>8</v>
      </c>
      <c r="P27" s="5" t="s">
        <v>9</v>
      </c>
      <c r="Q27" s="5" t="s">
        <v>10</v>
      </c>
      <c r="R27" s="5" t="s">
        <v>11</v>
      </c>
      <c r="S27" s="5" t="s">
        <v>12</v>
      </c>
      <c r="T27" s="5" t="s">
        <v>13</v>
      </c>
      <c r="U27" s="5" t="s">
        <v>14</v>
      </c>
      <c r="V27" s="5" t="s">
        <v>15</v>
      </c>
      <c r="W27" s="5" t="s">
        <v>16</v>
      </c>
      <c r="X27" s="5" t="s">
        <v>17</v>
      </c>
      <c r="Y27" s="5" t="s">
        <v>18</v>
      </c>
      <c r="Z27" s="5" t="s">
        <v>19</v>
      </c>
      <c r="AA27" s="5" t="s">
        <v>20</v>
      </c>
      <c r="AB27" s="3"/>
    </row>
    <row r="28" spans="1:30" ht="17" thickBot="1" x14ac:dyDescent="0.25">
      <c r="A28" t="s">
        <v>55</v>
      </c>
      <c r="N28" s="6" t="s">
        <v>47</v>
      </c>
      <c r="O28" s="14">
        <v>14.319660384315499</v>
      </c>
      <c r="P28" s="14">
        <v>12.9075370994408</v>
      </c>
      <c r="Q28" s="14">
        <v>8.8270724528722706</v>
      </c>
      <c r="R28" s="14">
        <v>7.4833686165168602</v>
      </c>
      <c r="S28" s="14">
        <v>5.2035483095093804</v>
      </c>
      <c r="T28" s="14">
        <v>18.928213023965</v>
      </c>
      <c r="U28" s="14">
        <v>68.282926537560101</v>
      </c>
      <c r="V28" s="14">
        <v>78.771984311170897</v>
      </c>
      <c r="W28" s="14">
        <v>110.114986782581</v>
      </c>
      <c r="X28" s="14">
        <v>43.302101946381299</v>
      </c>
      <c r="Y28" s="14">
        <v>20.103416409519799</v>
      </c>
      <c r="Z28" s="14">
        <v>15.2883720241388</v>
      </c>
      <c r="AA28" s="9">
        <v>403.53318789797203</v>
      </c>
      <c r="AB28" s="3" t="s">
        <v>48</v>
      </c>
    </row>
    <row r="29" spans="1:30" ht="17" thickBot="1" x14ac:dyDescent="0.25">
      <c r="A29" t="s">
        <v>26</v>
      </c>
      <c r="B29" t="s">
        <v>28</v>
      </c>
      <c r="C29" t="s">
        <v>31</v>
      </c>
      <c r="D29" t="s">
        <v>27</v>
      </c>
      <c r="E29" t="s">
        <v>32</v>
      </c>
      <c r="F29" t="s">
        <v>41</v>
      </c>
      <c r="H29" t="s">
        <v>68</v>
      </c>
      <c r="N29" s="6" t="s">
        <v>49</v>
      </c>
      <c r="O29" s="15">
        <v>36.305336756958198</v>
      </c>
      <c r="P29" s="15">
        <v>73.640612145319494</v>
      </c>
      <c r="Q29" s="15">
        <v>63.540568792205498</v>
      </c>
      <c r="R29" s="15">
        <v>51.239446912302697</v>
      </c>
      <c r="S29" s="15">
        <v>36.380090367302003</v>
      </c>
      <c r="T29" s="15">
        <v>45.059815123884299</v>
      </c>
      <c r="U29" s="15">
        <v>15.706564128896799</v>
      </c>
      <c r="V29" s="15">
        <v>21.8110134067221</v>
      </c>
      <c r="W29" s="15">
        <v>22.916134548718301</v>
      </c>
      <c r="X29" s="15">
        <v>16.9441516779215</v>
      </c>
      <c r="Y29" s="15">
        <v>22.658649890867501</v>
      </c>
      <c r="Z29" s="15">
        <v>40.366949585636398</v>
      </c>
      <c r="AA29" s="7">
        <v>446.56933333673499</v>
      </c>
      <c r="AB29" s="3" t="s">
        <v>48</v>
      </c>
    </row>
    <row r="30" spans="1:30" ht="17" thickBot="1" x14ac:dyDescent="0.25">
      <c r="A30" t="s">
        <v>56</v>
      </c>
      <c r="B30" t="s">
        <v>35</v>
      </c>
      <c r="C30">
        <v>185</v>
      </c>
      <c r="D30">
        <v>9</v>
      </c>
      <c r="E30" t="s">
        <v>40</v>
      </c>
      <c r="F30" s="10">
        <v>1</v>
      </c>
      <c r="H30" s="18">
        <f>AA31*1000/C30</f>
        <v>2273.7255274748918</v>
      </c>
      <c r="N30" s="16" t="s">
        <v>50</v>
      </c>
      <c r="O30" s="14">
        <v>30.2266326625641</v>
      </c>
      <c r="P30" s="14">
        <v>33.723343852070997</v>
      </c>
      <c r="Q30" s="14">
        <v>33.7313436215385</v>
      </c>
      <c r="R30" s="14">
        <v>31.246664314871801</v>
      </c>
      <c r="S30" s="14">
        <v>21.0069120972781</v>
      </c>
      <c r="T30" s="14">
        <v>18.0081194225641</v>
      </c>
      <c r="U30" s="14">
        <v>13.913496992325401</v>
      </c>
      <c r="V30" s="14">
        <v>15.5104767102618</v>
      </c>
      <c r="W30" s="14">
        <v>16.032606202051301</v>
      </c>
      <c r="X30" s="14">
        <v>11.1193469405128</v>
      </c>
      <c r="Y30" s="14">
        <v>15.229941222564101</v>
      </c>
      <c r="Z30" s="14">
        <v>21.8132542153846</v>
      </c>
      <c r="AA30" s="9">
        <v>261.562138253988</v>
      </c>
      <c r="AB30" s="3" t="s">
        <v>51</v>
      </c>
    </row>
    <row r="31" spans="1:30" ht="17" thickBot="1" x14ac:dyDescent="0.25">
      <c r="A31" t="s">
        <v>57</v>
      </c>
      <c r="B31" t="s">
        <v>35</v>
      </c>
      <c r="C31">
        <v>135</v>
      </c>
      <c r="D31">
        <v>9</v>
      </c>
      <c r="E31" t="s">
        <v>40</v>
      </c>
      <c r="F31" s="10">
        <v>1</v>
      </c>
      <c r="H31" s="18">
        <f>AA32*1000/C31</f>
        <v>1790.9351008700519</v>
      </c>
      <c r="N31" s="6" t="s">
        <v>52</v>
      </c>
      <c r="O31" s="15">
        <v>55.632763982204096</v>
      </c>
      <c r="P31" s="15">
        <v>65.432343383133599</v>
      </c>
      <c r="Q31" s="15">
        <v>66.304538327754599</v>
      </c>
      <c r="R31" s="15">
        <v>56.3779672387248</v>
      </c>
      <c r="S31" s="15">
        <v>32.649287390058497</v>
      </c>
      <c r="T31" s="15">
        <v>26.353908093788501</v>
      </c>
      <c r="U31" s="15">
        <v>16.016756034503398</v>
      </c>
      <c r="V31" s="15">
        <v>15.8831938552492</v>
      </c>
      <c r="W31" s="15">
        <v>17.693976809348101</v>
      </c>
      <c r="X31" s="15">
        <v>11.5733238069138</v>
      </c>
      <c r="Y31" s="15">
        <v>22.314644493570999</v>
      </c>
      <c r="Z31" s="15">
        <v>34.406519167605403</v>
      </c>
      <c r="AA31" s="7">
        <v>420.63922258285498</v>
      </c>
      <c r="AB31" s="3" t="s">
        <v>51</v>
      </c>
    </row>
    <row r="32" spans="1:30" ht="17" thickBot="1" x14ac:dyDescent="0.25">
      <c r="A32" t="s">
        <v>58</v>
      </c>
      <c r="B32" t="s">
        <v>35</v>
      </c>
      <c r="C32">
        <v>29</v>
      </c>
      <c r="D32">
        <v>9</v>
      </c>
      <c r="E32" t="s">
        <v>40</v>
      </c>
      <c r="F32" s="10">
        <f>C32/SUM($C$32:$C$33)</f>
        <v>0.5</v>
      </c>
      <c r="H32" s="18">
        <f>AA30*1000*F32/C32</f>
        <v>4509.6920388618619</v>
      </c>
      <c r="N32" s="6" t="s">
        <v>53</v>
      </c>
      <c r="O32" s="14">
        <v>42.707573698199802</v>
      </c>
      <c r="P32" s="14">
        <v>55.574183202303999</v>
      </c>
      <c r="Q32" s="14">
        <v>40.130376802581402</v>
      </c>
      <c r="R32" s="14">
        <v>27.501222934669599</v>
      </c>
      <c r="S32" s="14">
        <v>12.118736631066501</v>
      </c>
      <c r="T32" s="14">
        <v>11.7573021622654</v>
      </c>
      <c r="U32" s="14">
        <v>3.65845177525788</v>
      </c>
      <c r="V32" s="14">
        <v>2.8218016575847802</v>
      </c>
      <c r="W32" s="14">
        <v>4.09231256131834</v>
      </c>
      <c r="X32" s="14">
        <v>4.30941462050205</v>
      </c>
      <c r="Y32" s="14">
        <v>11.1418930246335</v>
      </c>
      <c r="Z32" s="14">
        <v>25.962969547074</v>
      </c>
      <c r="AA32" s="9">
        <v>241.77623861745701</v>
      </c>
      <c r="AB32" s="3" t="s">
        <v>51</v>
      </c>
    </row>
    <row r="33" spans="1:27" x14ac:dyDescent="0.2">
      <c r="A33" t="s">
        <v>59</v>
      </c>
      <c r="B33" t="s">
        <v>35</v>
      </c>
      <c r="C33">
        <v>29</v>
      </c>
      <c r="D33">
        <v>8</v>
      </c>
      <c r="E33" t="s">
        <v>33</v>
      </c>
      <c r="F33" s="10">
        <f>C33/SUM($C$32:$C$33)</f>
        <v>0.5</v>
      </c>
      <c r="H33" s="18">
        <f>AA30*1000*F33/C33</f>
        <v>4509.6920388618619</v>
      </c>
    </row>
    <row r="34" spans="1:27" ht="17" thickBot="1" x14ac:dyDescent="0.25">
      <c r="A34" t="s">
        <v>99</v>
      </c>
      <c r="B34" t="s">
        <v>35</v>
      </c>
      <c r="C34">
        <v>300.02</v>
      </c>
      <c r="D34">
        <v>8</v>
      </c>
      <c r="E34" t="s">
        <v>40</v>
      </c>
      <c r="F34" s="20">
        <f>C34/SUM($C$34:$C$35)</f>
        <v>0.81522743329166891</v>
      </c>
      <c r="H34" s="18">
        <f>404*1000*F34/C34</f>
        <v>1097.7664257377317</v>
      </c>
    </row>
    <row r="35" spans="1:27" ht="35" thickBot="1" x14ac:dyDescent="0.25">
      <c r="A35" t="s">
        <v>100</v>
      </c>
      <c r="B35" t="s">
        <v>35</v>
      </c>
      <c r="C35">
        <v>68</v>
      </c>
      <c r="D35">
        <v>8</v>
      </c>
      <c r="E35" t="s">
        <v>40</v>
      </c>
      <c r="F35" s="19">
        <f>C35/SUM($C$34:$C$35)</f>
        <v>0.18477256670833109</v>
      </c>
      <c r="H35" s="18">
        <f>404*1000*F35/C35</f>
        <v>1097.7664257377317</v>
      </c>
      <c r="O35" s="5" t="s">
        <v>8</v>
      </c>
      <c r="P35" s="5" t="s">
        <v>9</v>
      </c>
      <c r="Q35" s="5" t="s">
        <v>10</v>
      </c>
      <c r="R35" s="5" t="s">
        <v>11</v>
      </c>
      <c r="S35" s="5" t="s">
        <v>12</v>
      </c>
      <c r="T35" s="5" t="s">
        <v>13</v>
      </c>
      <c r="U35" s="5" t="s">
        <v>14</v>
      </c>
      <c r="V35" s="5" t="s">
        <v>15</v>
      </c>
      <c r="W35" s="5" t="s">
        <v>16</v>
      </c>
      <c r="X35" s="5" t="s">
        <v>17</v>
      </c>
      <c r="Y35" s="5" t="s">
        <v>18</v>
      </c>
      <c r="Z35" s="5" t="s">
        <v>19</v>
      </c>
      <c r="AA35" s="5" t="s">
        <v>20</v>
      </c>
    </row>
    <row r="36" spans="1:27" ht="17" thickBot="1" x14ac:dyDescent="0.25">
      <c r="N36" t="s">
        <v>56</v>
      </c>
      <c r="O36" s="15">
        <v>55.632763982204096</v>
      </c>
      <c r="P36" s="15">
        <v>65.432343383133599</v>
      </c>
      <c r="Q36" s="15">
        <v>66.304538327754599</v>
      </c>
      <c r="R36" s="15">
        <v>56.3779672387248</v>
      </c>
      <c r="S36" s="15">
        <v>32.649287390058497</v>
      </c>
      <c r="T36" s="15">
        <v>26.353908093788501</v>
      </c>
      <c r="U36" s="15">
        <v>16.016756034503398</v>
      </c>
      <c r="V36" s="15">
        <v>15.8831938552492</v>
      </c>
      <c r="W36" s="15">
        <v>17.693976809348101</v>
      </c>
      <c r="X36" s="15">
        <v>11.5733238069138</v>
      </c>
      <c r="Y36" s="15">
        <v>22.314644493570999</v>
      </c>
      <c r="Z36" s="15">
        <v>34.406519167605403</v>
      </c>
      <c r="AA36" s="15">
        <f>SUM(O36:Z36)</f>
        <v>420.63922258285493</v>
      </c>
    </row>
    <row r="37" spans="1:27" ht="17" thickBot="1" x14ac:dyDescent="0.25">
      <c r="A37" t="s">
        <v>60</v>
      </c>
      <c r="N37" t="s">
        <v>57</v>
      </c>
      <c r="O37" s="14">
        <v>42.707573698199802</v>
      </c>
      <c r="P37" s="14">
        <v>55.574183202303999</v>
      </c>
      <c r="Q37" s="14">
        <v>40.130376802581402</v>
      </c>
      <c r="R37" s="14">
        <v>27.501222934669599</v>
      </c>
      <c r="S37" s="14">
        <v>12.118736631066501</v>
      </c>
      <c r="T37" s="14">
        <v>11.7573021622654</v>
      </c>
      <c r="U37" s="14">
        <v>3.65845177525788</v>
      </c>
      <c r="V37" s="14">
        <v>2.8218016575847802</v>
      </c>
      <c r="W37" s="14">
        <v>4.09231256131834</v>
      </c>
      <c r="X37" s="14">
        <v>4.30941462050205</v>
      </c>
      <c r="Y37" s="14">
        <v>11.1418930246335</v>
      </c>
      <c r="Z37" s="14">
        <v>25.962969547074</v>
      </c>
      <c r="AA37" s="14">
        <f t="shared" ref="AA37:AA43" si="2">SUM(O37:Z37)</f>
        <v>241.7762386174573</v>
      </c>
    </row>
    <row r="38" spans="1:27" ht="17" thickBot="1" x14ac:dyDescent="0.25">
      <c r="A38" t="s">
        <v>63</v>
      </c>
      <c r="N38" t="s">
        <v>58</v>
      </c>
      <c r="O38" s="15">
        <f>O30/2</f>
        <v>15.11331633128205</v>
      </c>
      <c r="P38" s="15">
        <f t="shared" ref="P38:Z38" si="3">P30/2</f>
        <v>16.861671926035498</v>
      </c>
      <c r="Q38" s="15">
        <f t="shared" si="3"/>
        <v>16.86567181076925</v>
      </c>
      <c r="R38" s="15">
        <f t="shared" si="3"/>
        <v>15.6233321574359</v>
      </c>
      <c r="S38" s="15">
        <f t="shared" si="3"/>
        <v>10.50345604863905</v>
      </c>
      <c r="T38" s="15">
        <f t="shared" si="3"/>
        <v>9.00405971128205</v>
      </c>
      <c r="U38" s="15">
        <f t="shared" si="3"/>
        <v>6.9567484961627004</v>
      </c>
      <c r="V38" s="15">
        <f t="shared" si="3"/>
        <v>7.7552383551309001</v>
      </c>
      <c r="W38" s="15">
        <f t="shared" si="3"/>
        <v>8.0163031010256507</v>
      </c>
      <c r="X38" s="15">
        <f t="shared" si="3"/>
        <v>5.5596734702564001</v>
      </c>
      <c r="Y38" s="15">
        <f t="shared" si="3"/>
        <v>7.6149706112820503</v>
      </c>
      <c r="Z38" s="15">
        <f t="shared" si="3"/>
        <v>10.9066271076923</v>
      </c>
      <c r="AA38" s="15">
        <f t="shared" si="2"/>
        <v>130.7810691269938</v>
      </c>
    </row>
    <row r="39" spans="1:27" ht="17" thickBot="1" x14ac:dyDescent="0.25">
      <c r="A39" t="s">
        <v>61</v>
      </c>
      <c r="N39" t="s">
        <v>59</v>
      </c>
      <c r="O39" s="14">
        <v>15.11331633128205</v>
      </c>
      <c r="P39" s="14">
        <v>16.861671926035498</v>
      </c>
      <c r="Q39" s="14">
        <v>16.86567181076925</v>
      </c>
      <c r="R39" s="14">
        <v>15.6233321574359</v>
      </c>
      <c r="S39" s="14">
        <v>10.50345604863905</v>
      </c>
      <c r="T39" s="14">
        <v>9.00405971128205</v>
      </c>
      <c r="U39" s="14">
        <v>6.9567484961627004</v>
      </c>
      <c r="V39" s="14">
        <v>7.7552383551309001</v>
      </c>
      <c r="W39" s="14">
        <v>8.0163031010256507</v>
      </c>
      <c r="X39" s="14">
        <v>5.5596734702564001</v>
      </c>
      <c r="Y39" s="14">
        <v>7.6149706112820503</v>
      </c>
      <c r="Z39" s="14">
        <v>10.9066271076923</v>
      </c>
      <c r="AA39" s="14">
        <f t="shared" si="2"/>
        <v>130.7810691269938</v>
      </c>
    </row>
    <row r="40" spans="1:27" ht="17" thickBot="1" x14ac:dyDescent="0.25">
      <c r="A40" t="s">
        <v>101</v>
      </c>
      <c r="N40" t="s">
        <v>99</v>
      </c>
      <c r="O40" s="15">
        <f>SUM(O$36:O$39)/SUM($AA$36:$AA$39)*404*0.815227</f>
        <v>45.827681644933861</v>
      </c>
      <c r="P40" s="15">
        <f t="shared" ref="P40:Z40" si="4">SUM(P$36:P$39)/SUM($AA$36:$AA$39)*404*0.815227</f>
        <v>55.153444344656656</v>
      </c>
      <c r="Q40" s="15">
        <f t="shared" si="4"/>
        <v>49.962246650962349</v>
      </c>
      <c r="R40" s="15">
        <f t="shared" si="4"/>
        <v>41.036597459790819</v>
      </c>
      <c r="S40" s="15">
        <f t="shared" si="4"/>
        <v>23.44546833925536</v>
      </c>
      <c r="T40" s="15">
        <f t="shared" si="4"/>
        <v>20.003728545349986</v>
      </c>
      <c r="U40" s="15">
        <f t="shared" si="4"/>
        <v>11.972689925176272</v>
      </c>
      <c r="V40" s="15">
        <f t="shared" si="4"/>
        <v>12.196101099592207</v>
      </c>
      <c r="W40" s="15">
        <f t="shared" si="4"/>
        <v>13.480540934005935</v>
      </c>
      <c r="X40" s="15">
        <f t="shared" si="4"/>
        <v>9.6248901929456014</v>
      </c>
      <c r="Y40" s="15">
        <f t="shared" si="4"/>
        <v>17.354289691923338</v>
      </c>
      <c r="Z40" s="15">
        <f t="shared" si="4"/>
        <v>29.29402917140769</v>
      </c>
      <c r="AA40" s="15">
        <f t="shared" si="2"/>
        <v>329.35170800000009</v>
      </c>
    </row>
    <row r="41" spans="1:27" ht="17" thickBot="1" x14ac:dyDescent="0.25">
      <c r="A41" t="s">
        <v>62</v>
      </c>
      <c r="N41" t="s">
        <v>100</v>
      </c>
      <c r="O41" s="14">
        <f>SUM(O$36:O$39)/SUM($AA$36:$AA$39)*404*0.18477</f>
        <v>10.386776612568559</v>
      </c>
      <c r="P41" s="14">
        <f t="shared" ref="P41:Z41" si="5">SUM(P$36:P$39)/SUM($AA$36:$AA$39)*404*0.18477</f>
        <v>12.500447006247596</v>
      </c>
      <c r="Q41" s="14">
        <f t="shared" si="5"/>
        <v>11.323869687459213</v>
      </c>
      <c r="R41" s="14">
        <f t="shared" si="5"/>
        <v>9.3008844317540369</v>
      </c>
      <c r="S41" s="14">
        <f t="shared" si="5"/>
        <v>5.313880900711351</v>
      </c>
      <c r="T41" s="14">
        <f t="shared" si="5"/>
        <v>4.5338156407041437</v>
      </c>
      <c r="U41" s="14">
        <f t="shared" si="5"/>
        <v>2.7135925545582023</v>
      </c>
      <c r="V41" s="14">
        <f t="shared" si="5"/>
        <v>2.7642283685055227</v>
      </c>
      <c r="W41" s="14">
        <f t="shared" si="5"/>
        <v>3.055344767011245</v>
      </c>
      <c r="X41" s="14">
        <f t="shared" si="5"/>
        <v>2.1814671998726229</v>
      </c>
      <c r="Y41" s="14">
        <f t="shared" si="5"/>
        <v>3.9333242230405454</v>
      </c>
      <c r="Z41" s="14">
        <f t="shared" si="5"/>
        <v>6.6394486075669708</v>
      </c>
      <c r="AA41" s="14">
        <f t="shared" si="2"/>
        <v>74.647080000000003</v>
      </c>
    </row>
    <row r="42" spans="1:27" ht="17" thickBot="1" x14ac:dyDescent="0.25">
      <c r="A42" t="s">
        <v>98</v>
      </c>
      <c r="N42" t="s">
        <v>70</v>
      </c>
      <c r="O42" s="14">
        <v>14.319660384315499</v>
      </c>
      <c r="P42" s="14">
        <v>12.9075370994408</v>
      </c>
      <c r="Q42" s="14">
        <v>8.8270724528722706</v>
      </c>
      <c r="R42" s="14">
        <v>7.4833686165168602</v>
      </c>
      <c r="S42" s="14">
        <v>5.2035483095093804</v>
      </c>
      <c r="T42" s="14">
        <v>18.928213023965</v>
      </c>
      <c r="U42" s="14">
        <v>68.282926537560101</v>
      </c>
      <c r="V42" s="14">
        <v>78.771984311170897</v>
      </c>
      <c r="W42" s="14">
        <v>110.114986782581</v>
      </c>
      <c r="X42" s="14">
        <v>43.302101946381299</v>
      </c>
      <c r="Y42" s="14">
        <v>20.103416409519799</v>
      </c>
      <c r="Z42" s="14">
        <v>15.2883720241388</v>
      </c>
      <c r="AA42" s="14">
        <f t="shared" si="2"/>
        <v>403.53318789797174</v>
      </c>
    </row>
    <row r="43" spans="1:27" ht="17" thickBot="1" x14ac:dyDescent="0.25">
      <c r="N43" t="s">
        <v>71</v>
      </c>
      <c r="O43" s="15">
        <v>36.305336756958198</v>
      </c>
      <c r="P43" s="15">
        <v>73.640612145319494</v>
      </c>
      <c r="Q43" s="15">
        <v>63.540568792205498</v>
      </c>
      <c r="R43" s="15">
        <v>51.239446912302697</v>
      </c>
      <c r="S43" s="15">
        <v>36.380090367302003</v>
      </c>
      <c r="T43" s="15">
        <v>45.059815123884299</v>
      </c>
      <c r="U43" s="15">
        <v>15.706564128896799</v>
      </c>
      <c r="V43" s="15">
        <v>21.8110134067221</v>
      </c>
      <c r="W43" s="15">
        <v>22.916134548718301</v>
      </c>
      <c r="X43" s="15">
        <v>16.9441516779215</v>
      </c>
      <c r="Y43" s="15">
        <v>22.658649890867501</v>
      </c>
      <c r="Z43" s="15">
        <v>40.366949585636398</v>
      </c>
      <c r="AA43" s="15">
        <f t="shared" si="2"/>
        <v>446.56933333673476</v>
      </c>
    </row>
    <row r="44" spans="1:27" x14ac:dyDescent="0.2">
      <c r="A44" s="1" t="s">
        <v>66</v>
      </c>
    </row>
    <row r="46" spans="1:27" x14ac:dyDescent="0.2">
      <c r="A46" t="s">
        <v>55</v>
      </c>
    </row>
    <row r="47" spans="1:27" x14ac:dyDescent="0.2">
      <c r="A47" t="s">
        <v>26</v>
      </c>
      <c r="B47" t="s">
        <v>28</v>
      </c>
      <c r="C47" t="s">
        <v>31</v>
      </c>
      <c r="D47" t="s">
        <v>27</v>
      </c>
      <c r="E47" t="s">
        <v>32</v>
      </c>
      <c r="F47" t="s">
        <v>73</v>
      </c>
      <c r="H47" t="s">
        <v>68</v>
      </c>
    </row>
    <row r="48" spans="1:27" x14ac:dyDescent="0.2">
      <c r="A48" t="s">
        <v>70</v>
      </c>
      <c r="B48" t="s">
        <v>35</v>
      </c>
      <c r="C48">
        <v>70</v>
      </c>
      <c r="D48">
        <v>1</v>
      </c>
      <c r="E48" t="s">
        <v>72</v>
      </c>
      <c r="F48" t="s">
        <v>47</v>
      </c>
      <c r="H48" s="18">
        <f>AA28*1000/C48</f>
        <v>5764.7598271138859</v>
      </c>
    </row>
    <row r="49" spans="1:29" x14ac:dyDescent="0.2">
      <c r="A49" t="s">
        <v>71</v>
      </c>
      <c r="B49" t="s">
        <v>35</v>
      </c>
      <c r="C49">
        <v>86.4</v>
      </c>
      <c r="D49">
        <v>1</v>
      </c>
      <c r="E49" t="s">
        <v>72</v>
      </c>
      <c r="F49" t="s">
        <v>49</v>
      </c>
      <c r="H49" s="18">
        <f>AA29*1000/C49</f>
        <v>5168.6265432492473</v>
      </c>
    </row>
    <row r="51" spans="1:29" x14ac:dyDescent="0.2">
      <c r="A51" t="s">
        <v>60</v>
      </c>
    </row>
    <row r="52" spans="1:29" x14ac:dyDescent="0.2">
      <c r="A52" t="s">
        <v>74</v>
      </c>
    </row>
    <row r="55" spans="1:29" x14ac:dyDescent="0.2">
      <c r="A55" s="1" t="s">
        <v>75</v>
      </c>
    </row>
    <row r="56" spans="1:29" ht="19" thickBot="1" x14ac:dyDescent="0.3">
      <c r="A56" t="s">
        <v>97</v>
      </c>
      <c r="N56" s="2" t="s">
        <v>76</v>
      </c>
      <c r="O56" s="3"/>
      <c r="P56" s="3"/>
      <c r="Q56" s="3"/>
      <c r="R56" s="3"/>
      <c r="S56" s="3"/>
      <c r="T56" s="3"/>
      <c r="U56" s="3"/>
      <c r="V56" s="3"/>
      <c r="W56" s="3"/>
      <c r="X56" s="3"/>
      <c r="Y56" s="3"/>
      <c r="Z56" s="3"/>
      <c r="AA56" s="3"/>
      <c r="AB56" s="3"/>
    </row>
    <row r="57" spans="1:29" ht="18" thickTop="1" thickBot="1" x14ac:dyDescent="0.25">
      <c r="N57" s="13" t="s">
        <v>77</v>
      </c>
      <c r="O57" s="3"/>
      <c r="P57" s="3"/>
      <c r="Q57" s="3"/>
      <c r="R57" s="3"/>
      <c r="S57" s="3"/>
      <c r="T57" s="3"/>
      <c r="U57" s="3"/>
      <c r="V57" s="3"/>
      <c r="W57" s="3"/>
      <c r="X57" s="3"/>
      <c r="Y57" s="3"/>
      <c r="Z57" s="3"/>
      <c r="AA57" s="3"/>
      <c r="AB57" s="3"/>
    </row>
    <row r="58" spans="1:29" ht="35" thickBot="1" x14ac:dyDescent="0.25">
      <c r="N58" s="5" t="s">
        <v>7</v>
      </c>
      <c r="O58" s="5" t="s">
        <v>8</v>
      </c>
      <c r="P58" s="5" t="s">
        <v>9</v>
      </c>
      <c r="Q58" s="5" t="s">
        <v>10</v>
      </c>
      <c r="R58" s="5" t="s">
        <v>11</v>
      </c>
      <c r="S58" s="5" t="s">
        <v>12</v>
      </c>
      <c r="T58" s="5" t="s">
        <v>13</v>
      </c>
      <c r="U58" s="5" t="s">
        <v>14</v>
      </c>
      <c r="V58" s="5" t="s">
        <v>15</v>
      </c>
      <c r="W58" s="5" t="s">
        <v>16</v>
      </c>
      <c r="X58" s="5" t="s">
        <v>17</v>
      </c>
      <c r="Y58" s="5" t="s">
        <v>18</v>
      </c>
      <c r="Z58" s="5" t="s">
        <v>19</v>
      </c>
      <c r="AA58" s="5" t="s">
        <v>20</v>
      </c>
      <c r="AB58" s="3"/>
    </row>
    <row r="59" spans="1:29" ht="17" thickBot="1" x14ac:dyDescent="0.25">
      <c r="A59" t="s">
        <v>26</v>
      </c>
      <c r="B59" t="s">
        <v>28</v>
      </c>
      <c r="C59" t="s">
        <v>31</v>
      </c>
      <c r="D59" t="s">
        <v>27</v>
      </c>
      <c r="E59" t="s">
        <v>32</v>
      </c>
      <c r="F59" t="s">
        <v>41</v>
      </c>
      <c r="N59" s="6">
        <v>2011</v>
      </c>
      <c r="O59" s="7">
        <v>982.10649531778063</v>
      </c>
      <c r="P59" s="7">
        <v>1510.9520740171683</v>
      </c>
      <c r="Q59" s="7">
        <v>1501.2596750180717</v>
      </c>
      <c r="R59" s="7">
        <v>882.6176525993568</v>
      </c>
      <c r="S59" s="7">
        <v>778.42810242848918</v>
      </c>
      <c r="T59" s="7">
        <v>829.47445462184976</v>
      </c>
      <c r="U59" s="7">
        <v>489.72610141652444</v>
      </c>
      <c r="V59" s="7">
        <v>308.09290403474523</v>
      </c>
      <c r="W59" s="7">
        <v>608.55865870302887</v>
      </c>
      <c r="X59" s="7">
        <v>549.75776396125707</v>
      </c>
      <c r="Y59" s="7">
        <v>501.07665734700078</v>
      </c>
      <c r="Z59" s="7">
        <v>1427.689099921459</v>
      </c>
      <c r="AA59" s="7">
        <v>10369.739639386733</v>
      </c>
      <c r="AB59" s="8">
        <f>SUM(AA59:AA71)/13</f>
        <v>8981.4144276539046</v>
      </c>
      <c r="AC59" t="s">
        <v>22</v>
      </c>
    </row>
    <row r="60" spans="1:29" ht="17" thickBot="1" x14ac:dyDescent="0.25">
      <c r="A60" t="s">
        <v>79</v>
      </c>
      <c r="B60" t="s">
        <v>35</v>
      </c>
      <c r="C60">
        <v>79.900000000000006</v>
      </c>
      <c r="D60">
        <v>10</v>
      </c>
      <c r="E60" t="s">
        <v>96</v>
      </c>
      <c r="F60" s="11">
        <f>$C60/SUM($C$60:$C$76)</f>
        <v>3.6706941700739647E-2</v>
      </c>
      <c r="N60" s="6">
        <v>2012</v>
      </c>
      <c r="O60" s="9">
        <v>1450.6198512613894</v>
      </c>
      <c r="P60" s="9">
        <v>1683.9833819230871</v>
      </c>
      <c r="Q60" s="9">
        <v>1036.8069699009238</v>
      </c>
      <c r="R60" s="9">
        <v>657.04370923793317</v>
      </c>
      <c r="S60" s="9">
        <v>667.78845649772484</v>
      </c>
      <c r="T60" s="9">
        <v>287.20537247638794</v>
      </c>
      <c r="U60" s="9">
        <v>128.78972299106022</v>
      </c>
      <c r="V60" s="9">
        <v>116.96362739733371</v>
      </c>
      <c r="W60" s="9">
        <v>404.59662059368071</v>
      </c>
      <c r="X60" s="9">
        <v>573.59079460295095</v>
      </c>
      <c r="Y60" s="9">
        <v>1122.7234571022821</v>
      </c>
      <c r="Z60" s="9">
        <v>1121.3978179840619</v>
      </c>
      <c r="AA60" s="9">
        <v>9251.5097819688162</v>
      </c>
      <c r="AB60" s="8">
        <f>MIN(AA59:AA70)</f>
        <v>7116.4842757713723</v>
      </c>
      <c r="AC60" t="s">
        <v>23</v>
      </c>
    </row>
    <row r="61" spans="1:29" ht="17" thickBot="1" x14ac:dyDescent="0.25">
      <c r="A61" t="s">
        <v>80</v>
      </c>
      <c r="B61" t="s">
        <v>35</v>
      </c>
      <c r="C61">
        <v>176.7</v>
      </c>
      <c r="D61">
        <v>10</v>
      </c>
      <c r="E61" t="s">
        <v>96</v>
      </c>
      <c r="F61" s="11">
        <f t="shared" ref="F61:F76" si="6">$C61/SUM($C$60:$C$76)</f>
        <v>8.1177929893876039E-2</v>
      </c>
      <c r="N61" s="6">
        <v>2013</v>
      </c>
      <c r="O61" s="7">
        <v>971.46073620476989</v>
      </c>
      <c r="P61" s="7">
        <v>1433.5765992644024</v>
      </c>
      <c r="Q61" s="7">
        <v>1373.6917692654349</v>
      </c>
      <c r="R61" s="7">
        <v>676.8669525086259</v>
      </c>
      <c r="S61" s="7">
        <v>292.53231910041035</v>
      </c>
      <c r="T61" s="7">
        <v>241.86632217327886</v>
      </c>
      <c r="U61" s="7">
        <v>72.581114482268333</v>
      </c>
      <c r="V61" s="7">
        <v>24.584729255599278</v>
      </c>
      <c r="W61" s="7">
        <v>321.40892269182507</v>
      </c>
      <c r="X61" s="7">
        <v>425.54360929687681</v>
      </c>
      <c r="Y61" s="7">
        <v>777.08089298956111</v>
      </c>
      <c r="Z61" s="7">
        <v>505.2903085383208</v>
      </c>
      <c r="AA61" s="7">
        <v>7116.4842757713723</v>
      </c>
      <c r="AB61" s="8">
        <f>MAX(AA59:AA71)</f>
        <v>11242.60246772913</v>
      </c>
      <c r="AC61" t="s">
        <v>78</v>
      </c>
    </row>
    <row r="62" spans="1:29" ht="17" thickBot="1" x14ac:dyDescent="0.25">
      <c r="A62" t="s">
        <v>81</v>
      </c>
      <c r="B62" t="s">
        <v>35</v>
      </c>
      <c r="C62">
        <v>85</v>
      </c>
      <c r="D62">
        <v>10</v>
      </c>
      <c r="E62" t="s">
        <v>96</v>
      </c>
      <c r="F62" s="11">
        <f t="shared" si="6"/>
        <v>3.9049937979510264E-2</v>
      </c>
      <c r="N62" s="6">
        <v>2014</v>
      </c>
      <c r="O62" s="9">
        <v>1526.3770012232978</v>
      </c>
      <c r="P62" s="9">
        <v>2534.7928842408219</v>
      </c>
      <c r="Q62" s="9">
        <v>1316.2934382773458</v>
      </c>
      <c r="R62" s="9">
        <v>1673.4487753535782</v>
      </c>
      <c r="S62" s="9">
        <v>772.05715609150661</v>
      </c>
      <c r="T62" s="9">
        <v>460.10775256289952</v>
      </c>
      <c r="U62" s="9">
        <v>314.51883707138938</v>
      </c>
      <c r="V62" s="9">
        <v>112.89080587223692</v>
      </c>
      <c r="W62" s="9">
        <v>241.62398496891049</v>
      </c>
      <c r="X62" s="9">
        <v>519.13884450731155</v>
      </c>
      <c r="Y62" s="9">
        <v>927.42494856188659</v>
      </c>
      <c r="Z62" s="9">
        <v>843.92803899794569</v>
      </c>
      <c r="AA62" s="9">
        <v>11242.60246772913</v>
      </c>
      <c r="AB62" s="8"/>
    </row>
    <row r="63" spans="1:29" ht="17" thickBot="1" x14ac:dyDescent="0.25">
      <c r="A63" t="s">
        <v>82</v>
      </c>
      <c r="B63" t="s">
        <v>35</v>
      </c>
      <c r="C63">
        <v>60</v>
      </c>
      <c r="D63">
        <v>10</v>
      </c>
      <c r="E63" t="s">
        <v>96</v>
      </c>
      <c r="F63" s="11">
        <f t="shared" si="6"/>
        <v>2.7564662103183715E-2</v>
      </c>
      <c r="N63" s="6">
        <v>2015</v>
      </c>
      <c r="O63" s="7">
        <v>1379.5779720483806</v>
      </c>
      <c r="P63" s="7">
        <v>1103.0548167917409</v>
      </c>
      <c r="Q63" s="7">
        <v>696.06905918650602</v>
      </c>
      <c r="R63" s="7">
        <v>732.25481536032055</v>
      </c>
      <c r="S63" s="7">
        <v>447.33890988600945</v>
      </c>
      <c r="T63" s="7">
        <v>269.22506259363513</v>
      </c>
      <c r="U63" s="7">
        <v>391.29817018685054</v>
      </c>
      <c r="V63" s="7">
        <v>61.088741408130645</v>
      </c>
      <c r="W63" s="7">
        <v>440.50983239729806</v>
      </c>
      <c r="X63" s="7">
        <v>230.78835684414261</v>
      </c>
      <c r="Y63" s="7">
        <v>1405.9869548525833</v>
      </c>
      <c r="Z63" s="7">
        <v>1024.2403426527815</v>
      </c>
      <c r="AA63" s="7">
        <v>8181.4330342083795</v>
      </c>
      <c r="AB63" s="8"/>
    </row>
    <row r="64" spans="1:29" ht="17" thickBot="1" x14ac:dyDescent="0.25">
      <c r="A64" t="s">
        <v>83</v>
      </c>
      <c r="B64" t="s">
        <v>35</v>
      </c>
      <c r="C64">
        <v>43.2</v>
      </c>
      <c r="D64">
        <v>10</v>
      </c>
      <c r="E64" t="s">
        <v>96</v>
      </c>
      <c r="F64" s="11">
        <f t="shared" si="6"/>
        <v>1.9846556714292276E-2</v>
      </c>
      <c r="N64" s="6">
        <v>2016</v>
      </c>
      <c r="O64" s="9">
        <v>1064.1069168015679</v>
      </c>
      <c r="P64" s="9">
        <v>1397.3510895388179</v>
      </c>
      <c r="Q64" s="9">
        <v>668.52280508258707</v>
      </c>
      <c r="R64" s="9">
        <v>171.54703654525611</v>
      </c>
      <c r="S64" s="9">
        <v>203.57509488749466</v>
      </c>
      <c r="T64" s="9">
        <v>203.95007860229558</v>
      </c>
      <c r="U64" s="9">
        <v>150.38852141641416</v>
      </c>
      <c r="V64" s="9">
        <v>141.86757168007074</v>
      </c>
      <c r="W64" s="9">
        <v>168.08034047654249</v>
      </c>
      <c r="X64" s="9">
        <v>335.76196322700929</v>
      </c>
      <c r="Y64" s="9">
        <v>2049.8069738080358</v>
      </c>
      <c r="Z64" s="9">
        <v>2052.678651882733</v>
      </c>
      <c r="AA64" s="9">
        <v>8607.6370439488237</v>
      </c>
      <c r="AB64" s="8"/>
    </row>
    <row r="65" spans="1:28" ht="17" thickBot="1" x14ac:dyDescent="0.25">
      <c r="A65" t="s">
        <v>84</v>
      </c>
      <c r="B65" t="s">
        <v>35</v>
      </c>
      <c r="C65">
        <v>432</v>
      </c>
      <c r="D65">
        <v>10</v>
      </c>
      <c r="E65" t="s">
        <v>96</v>
      </c>
      <c r="F65" s="11">
        <f t="shared" si="6"/>
        <v>0.19846556714292274</v>
      </c>
      <c r="N65" s="6">
        <v>2017</v>
      </c>
      <c r="O65" s="7">
        <v>2200.9302321369105</v>
      </c>
      <c r="P65" s="7">
        <v>1443.3691411884131</v>
      </c>
      <c r="Q65" s="7">
        <v>943.45805105937143</v>
      </c>
      <c r="R65" s="7">
        <v>1975.9386479555546</v>
      </c>
      <c r="S65" s="7">
        <v>996.38102295447322</v>
      </c>
      <c r="T65" s="7">
        <v>404.00906441221224</v>
      </c>
      <c r="U65" s="7">
        <v>190.58165701066812</v>
      </c>
      <c r="V65" s="7">
        <v>199.9556356618628</v>
      </c>
      <c r="W65" s="7">
        <v>118.57676969675309</v>
      </c>
      <c r="X65" s="7">
        <v>271.87032053655844</v>
      </c>
      <c r="Y65" s="7">
        <v>712.9214814064245</v>
      </c>
      <c r="Z65" s="7">
        <v>577.70773631641566</v>
      </c>
      <c r="AA65" s="7">
        <v>10035.699760335618</v>
      </c>
      <c r="AB65" s="8"/>
    </row>
    <row r="66" spans="1:28" ht="17" thickBot="1" x14ac:dyDescent="0.25">
      <c r="A66" t="s">
        <v>85</v>
      </c>
      <c r="B66" t="s">
        <v>35</v>
      </c>
      <c r="C66">
        <v>144</v>
      </c>
      <c r="D66">
        <v>10</v>
      </c>
      <c r="E66" t="s">
        <v>96</v>
      </c>
      <c r="F66" s="11">
        <f t="shared" si="6"/>
        <v>6.6155189047640922E-2</v>
      </c>
      <c r="N66" s="6">
        <v>2018</v>
      </c>
      <c r="O66" s="9">
        <v>1164.9589517733011</v>
      </c>
      <c r="P66" s="9">
        <v>1395.2287182958135</v>
      </c>
      <c r="Q66" s="9">
        <v>1636.4844881465083</v>
      </c>
      <c r="R66" s="9">
        <v>799.07183986058578</v>
      </c>
      <c r="S66" s="9">
        <v>283.36471878415455</v>
      </c>
      <c r="T66" s="9">
        <v>423.06303018820353</v>
      </c>
      <c r="U66" s="9">
        <v>84.682216529275038</v>
      </c>
      <c r="V66" s="9">
        <v>206.77487885032582</v>
      </c>
      <c r="W66" s="9">
        <v>531.5248116714057</v>
      </c>
      <c r="X66" s="9">
        <v>607.48445487906304</v>
      </c>
      <c r="Y66" s="9">
        <v>965.12397473132171</v>
      </c>
      <c r="Z66" s="9">
        <v>1075.2176588314699</v>
      </c>
      <c r="AA66" s="9">
        <v>9172.979742541429</v>
      </c>
      <c r="AB66" s="8"/>
    </row>
    <row r="67" spans="1:28" ht="17" thickBot="1" x14ac:dyDescent="0.25">
      <c r="A67" t="s">
        <v>86</v>
      </c>
      <c r="B67" t="s">
        <v>35</v>
      </c>
      <c r="C67">
        <v>32.4</v>
      </c>
      <c r="D67">
        <v>10</v>
      </c>
      <c r="E67" t="s">
        <v>96</v>
      </c>
      <c r="F67" s="11">
        <f t="shared" si="6"/>
        <v>1.4884917535719206E-2</v>
      </c>
      <c r="N67" s="6">
        <v>2019</v>
      </c>
      <c r="O67" s="7">
        <v>2031.9242606624664</v>
      </c>
      <c r="P67" s="7">
        <v>1754.9171898111829</v>
      </c>
      <c r="Q67" s="7">
        <v>981.73917696256831</v>
      </c>
      <c r="R67" s="7">
        <v>315.46391651385517</v>
      </c>
      <c r="S67" s="7">
        <v>506.85693202701907</v>
      </c>
      <c r="T67" s="7">
        <v>387.09338377881721</v>
      </c>
      <c r="U67" s="7">
        <v>-11.47676484899624</v>
      </c>
      <c r="V67" s="7">
        <v>205.95075333937345</v>
      </c>
      <c r="W67" s="7">
        <v>241.20123706523825</v>
      </c>
      <c r="X67" s="7">
        <v>616.49325706502702</v>
      </c>
      <c r="Y67" s="7">
        <v>944.10918637348368</v>
      </c>
      <c r="Z67" s="7">
        <v>1106.9225826844586</v>
      </c>
      <c r="AA67" s="7">
        <v>9081.1951114344938</v>
      </c>
      <c r="AB67" s="8"/>
    </row>
    <row r="68" spans="1:28" ht="17" thickBot="1" x14ac:dyDescent="0.25">
      <c r="A68" t="s">
        <v>87</v>
      </c>
      <c r="B68" t="s">
        <v>35</v>
      </c>
      <c r="C68">
        <v>81.599999999999994</v>
      </c>
      <c r="D68">
        <v>10</v>
      </c>
      <c r="E68" t="s">
        <v>96</v>
      </c>
      <c r="F68" s="11">
        <f t="shared" si="6"/>
        <v>3.7487940460329848E-2</v>
      </c>
      <c r="N68" s="6">
        <v>2020</v>
      </c>
      <c r="O68" s="9">
        <v>2287.6441088314432</v>
      </c>
      <c r="P68" s="9">
        <v>1316.0492860457625</v>
      </c>
      <c r="Q68" s="9">
        <v>853.39292920800744</v>
      </c>
      <c r="R68" s="9">
        <v>396.20971519932618</v>
      </c>
      <c r="S68" s="9">
        <v>854.40447387113397</v>
      </c>
      <c r="T68" s="9">
        <v>660.08988840337952</v>
      </c>
      <c r="U68" s="9">
        <v>180.61435695059515</v>
      </c>
      <c r="V68" s="9">
        <v>176.60295641044451</v>
      </c>
      <c r="W68" s="9">
        <v>462.18350760224178</v>
      </c>
      <c r="X68" s="9">
        <v>1124.2054957773128</v>
      </c>
      <c r="Y68" s="9">
        <v>1002.6673719008006</v>
      </c>
      <c r="Z68" s="9">
        <v>910.04623131103347</v>
      </c>
      <c r="AA68" s="9">
        <v>10224.110321511482</v>
      </c>
      <c r="AB68" s="8"/>
    </row>
    <row r="69" spans="1:28" ht="17" thickBot="1" x14ac:dyDescent="0.25">
      <c r="A69" t="s">
        <v>88</v>
      </c>
      <c r="B69" t="s">
        <v>35</v>
      </c>
      <c r="C69">
        <v>79.900000000000006</v>
      </c>
      <c r="D69">
        <v>10</v>
      </c>
      <c r="E69" t="s">
        <v>96</v>
      </c>
      <c r="F69" s="11">
        <f t="shared" si="6"/>
        <v>3.6706941700739647E-2</v>
      </c>
      <c r="N69" s="6">
        <v>2021</v>
      </c>
      <c r="O69" s="7">
        <v>768.02628889249002</v>
      </c>
      <c r="P69" s="7">
        <v>946.32766153945295</v>
      </c>
      <c r="Q69" s="7">
        <v>920.81335306499795</v>
      </c>
      <c r="R69" s="7">
        <v>1160.45133766667</v>
      </c>
      <c r="S69" s="7">
        <v>202.851147155371</v>
      </c>
      <c r="T69" s="7">
        <v>378.745140124297</v>
      </c>
      <c r="U69" s="7">
        <v>148.27939654321301</v>
      </c>
      <c r="V69" s="7">
        <v>409.76325968106102</v>
      </c>
      <c r="W69" s="7">
        <v>372.378482914014</v>
      </c>
      <c r="X69" s="7">
        <v>685.82738387285599</v>
      </c>
      <c r="Y69" s="7">
        <v>783.857920632542</v>
      </c>
      <c r="Z69" s="7">
        <v>950.92837826543598</v>
      </c>
      <c r="AA69" s="7">
        <v>7728.2497503524</v>
      </c>
      <c r="AB69" s="8"/>
    </row>
    <row r="70" spans="1:28" ht="17" thickBot="1" x14ac:dyDescent="0.25">
      <c r="A70" t="s">
        <v>89</v>
      </c>
      <c r="B70" t="s">
        <v>35</v>
      </c>
      <c r="C70">
        <v>40</v>
      </c>
      <c r="D70">
        <v>10</v>
      </c>
      <c r="E70" t="s">
        <v>96</v>
      </c>
      <c r="F70" s="11">
        <f t="shared" si="6"/>
        <v>1.8376441402122478E-2</v>
      </c>
      <c r="N70" s="6">
        <v>2022</v>
      </c>
      <c r="O70" s="9">
        <v>1582.9637437291501</v>
      </c>
      <c r="P70" s="9">
        <v>1782.30943585358</v>
      </c>
      <c r="Q70" s="9">
        <v>1288.8602989794299</v>
      </c>
      <c r="R70" s="9">
        <v>1346.4040186786499</v>
      </c>
      <c r="S70" s="9">
        <v>690.625600724832</v>
      </c>
      <c r="T70" s="9">
        <v>136.579149922298</v>
      </c>
      <c r="U70" s="9">
        <v>161.59619319526701</v>
      </c>
      <c r="V70" s="9">
        <v>24.772802401765301</v>
      </c>
      <c r="W70" s="9">
        <v>140.013462385445</v>
      </c>
      <c r="X70" s="9">
        <v>228.99221844748999</v>
      </c>
      <c r="Y70" s="9">
        <v>893.31444738946095</v>
      </c>
      <c r="Z70" s="9">
        <v>1163.38938022461</v>
      </c>
      <c r="AA70" s="9">
        <v>9439.8207519319803</v>
      </c>
      <c r="AB70" s="8"/>
    </row>
    <row r="71" spans="1:28" ht="17" thickBot="1" x14ac:dyDescent="0.25">
      <c r="A71" t="s">
        <v>90</v>
      </c>
      <c r="B71" t="s">
        <v>35</v>
      </c>
      <c r="C71">
        <v>300</v>
      </c>
      <c r="D71">
        <v>10</v>
      </c>
      <c r="E71" t="s">
        <v>96</v>
      </c>
      <c r="F71" s="11">
        <f t="shared" si="6"/>
        <v>0.13782331051591856</v>
      </c>
      <c r="N71" s="6" t="s">
        <v>21</v>
      </c>
      <c r="O71" s="7">
        <v>987.64005975590044</v>
      </c>
      <c r="P71" s="7">
        <v>832.69144913229241</v>
      </c>
      <c r="Q71" s="7">
        <v>998.70184451167518</v>
      </c>
      <c r="R71" s="7">
        <v>605.54091938206341</v>
      </c>
      <c r="S71" s="7">
        <v>237.83786166771804</v>
      </c>
      <c r="T71" s="7">
        <v>156.95793471624563</v>
      </c>
      <c r="U71" s="7">
        <v>259.57811962268005</v>
      </c>
      <c r="V71" s="7">
        <v>27.72555574375605</v>
      </c>
      <c r="W71" s="7">
        <v>167.74324745960874</v>
      </c>
      <c r="X71" s="7">
        <v>138.03403922990449</v>
      </c>
      <c r="Y71" s="7">
        <v>1356.8306455604563</v>
      </c>
      <c r="Z71" s="7">
        <v>537.64420159778501</v>
      </c>
      <c r="AA71" s="7">
        <v>6306.9258783800851</v>
      </c>
      <c r="AB71" s="8"/>
    </row>
    <row r="72" spans="1:28" x14ac:dyDescent="0.2">
      <c r="A72" t="s">
        <v>91</v>
      </c>
      <c r="B72" t="s">
        <v>35</v>
      </c>
      <c r="C72">
        <v>231.2</v>
      </c>
      <c r="D72">
        <v>10</v>
      </c>
      <c r="E72" t="s">
        <v>96</v>
      </c>
      <c r="F72" s="11">
        <f t="shared" si="6"/>
        <v>0.10621583130426791</v>
      </c>
    </row>
    <row r="73" spans="1:28" x14ac:dyDescent="0.2">
      <c r="A73" t="s">
        <v>92</v>
      </c>
      <c r="B73" t="s">
        <v>35</v>
      </c>
      <c r="C73">
        <v>90</v>
      </c>
      <c r="D73">
        <v>10</v>
      </c>
      <c r="E73" t="s">
        <v>96</v>
      </c>
      <c r="F73" s="11">
        <f t="shared" si="6"/>
        <v>4.1346993154775573E-2</v>
      </c>
    </row>
    <row r="74" spans="1:28" x14ac:dyDescent="0.2">
      <c r="A74" t="s">
        <v>93</v>
      </c>
      <c r="B74" t="s">
        <v>35</v>
      </c>
      <c r="C74">
        <v>93</v>
      </c>
      <c r="D74">
        <v>10</v>
      </c>
      <c r="E74" t="s">
        <v>96</v>
      </c>
      <c r="F74" s="11">
        <f t="shared" si="6"/>
        <v>4.2725226259934759E-2</v>
      </c>
      <c r="O74" s="17">
        <f>AVERAGE(O59:O70)</f>
        <v>1450.8913799069126</v>
      </c>
      <c r="P74" s="17">
        <f t="shared" ref="P74:Z74" si="7">AVERAGE(P59:P70)</f>
        <v>1525.1593565425203</v>
      </c>
      <c r="Q74" s="17">
        <f t="shared" si="7"/>
        <v>1101.4493345126459</v>
      </c>
      <c r="R74" s="17">
        <f t="shared" si="7"/>
        <v>898.94320145664267</v>
      </c>
      <c r="S74" s="17">
        <f t="shared" si="7"/>
        <v>558.01699453405149</v>
      </c>
      <c r="T74" s="17">
        <f t="shared" si="7"/>
        <v>390.11739165496283</v>
      </c>
      <c r="U74" s="17">
        <f t="shared" si="7"/>
        <v>191.79829357871074</v>
      </c>
      <c r="V74" s="17">
        <f t="shared" si="7"/>
        <v>165.77572216607913</v>
      </c>
      <c r="W74" s="17">
        <f t="shared" si="7"/>
        <v>337.55471926386525</v>
      </c>
      <c r="X74" s="17">
        <f t="shared" si="7"/>
        <v>514.12120525148782</v>
      </c>
      <c r="Y74" s="17">
        <f t="shared" si="7"/>
        <v>1007.1745222579485</v>
      </c>
      <c r="Z74" s="17">
        <f t="shared" si="7"/>
        <v>1063.2863523008939</v>
      </c>
      <c r="AA74" s="17"/>
    </row>
    <row r="75" spans="1:28" x14ac:dyDescent="0.2">
      <c r="A75" t="s">
        <v>94</v>
      </c>
      <c r="B75" t="s">
        <v>35</v>
      </c>
      <c r="C75">
        <v>82.8</v>
      </c>
      <c r="D75">
        <v>10</v>
      </c>
      <c r="E75" t="s">
        <v>96</v>
      </c>
      <c r="F75" s="11">
        <f t="shared" si="6"/>
        <v>3.8039233702393524E-2</v>
      </c>
    </row>
    <row r="76" spans="1:28" x14ac:dyDescent="0.2">
      <c r="A76" t="s">
        <v>95</v>
      </c>
      <c r="B76" t="s">
        <v>35</v>
      </c>
      <c r="C76">
        <v>125</v>
      </c>
      <c r="D76">
        <v>10</v>
      </c>
      <c r="E76" t="s">
        <v>96</v>
      </c>
      <c r="F76" s="11">
        <f t="shared" si="6"/>
        <v>5.7426379381632739E-2</v>
      </c>
    </row>
  </sheetData>
  <mergeCells count="1">
    <mergeCell ref="N4:AD4"/>
  </mergeCells>
  <pageMargins left="0.7" right="0.7" top="0.75" bottom="0.75" header="0.3" footer="0.3"/>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Cato</dc:creator>
  <cp:lastModifiedBy>Samuel Cato</cp:lastModifiedBy>
  <dcterms:created xsi:type="dcterms:W3CDTF">2025-04-09T01:03:38Z</dcterms:created>
  <dcterms:modified xsi:type="dcterms:W3CDTF">2025-04-30T06:16:28Z</dcterms:modified>
</cp:coreProperties>
</file>